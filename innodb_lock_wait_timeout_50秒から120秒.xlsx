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読み方" sheetId="1" state="visible" r:id="rId1"/>
    <sheet xmlns:r="http://schemas.openxmlformats.org/officeDocument/2006/relationships" name="01_たとえ" sheetId="2" state="visible" r:id="rId2"/>
    <sheet xmlns:r="http://schemas.openxmlformats.org/officeDocument/2006/relationships" name="02_何が変わるか" sheetId="3" state="visible" r:id="rId3"/>
    <sheet xmlns:r="http://schemas.openxmlformats.org/officeDocument/2006/relationships" name="03_動作原理" sheetId="4" state="visible" r:id="rId4"/>
    <sheet xmlns:r="http://schemas.openxmlformats.org/officeDocument/2006/relationships" name="04_時間の絵" sheetId="5" state="visible" r:id="rId5"/>
    <sheet xmlns:r="http://schemas.openxmlformats.org/officeDocument/2006/relationships" name="05_計算" sheetId="6" state="visible" r:id="rId6"/>
    <sheet xmlns:r="http://schemas.openxmlformats.org/officeDocument/2006/relationships" name="06_歴史" sheetId="7" state="visible" r:id="rId7"/>
    <sheet xmlns:r="http://schemas.openxmlformats.org/officeDocument/2006/relationships" name="07_メリット" sheetId="8" state="visible" r:id="rId8"/>
    <sheet xmlns:r="http://schemas.openxmlformats.org/officeDocument/2006/relationships" name="08_デメリット" sheetId="9" state="visible" r:id="rId9"/>
    <sheet xmlns:r="http://schemas.openxmlformats.org/officeDocument/2006/relationships" name="09_Aurora" sheetId="10" state="visible" r:id="rId10"/>
    <sheet xmlns:r="http://schemas.openxmlformats.org/officeDocument/2006/relationships" name="10_エラーの戻り方" sheetId="11" state="visible" r:id="rId11"/>
    <sheet xmlns:r="http://schemas.openxmlformats.org/officeDocument/2006/relationships" name="11_ほかの制限時間" sheetId="12" state="visible" r:id="rId12"/>
    <sheet xmlns:r="http://schemas.openxmlformats.org/officeDocument/2006/relationships" name="12_判断" sheetId="13" state="visible" r:id="rId13"/>
    <sheet xmlns:r="http://schemas.openxmlformats.org/officeDocument/2006/relationships" name="13_監視" sheetId="14" state="visible" r:id="rId14"/>
    <sheet xmlns:r="http://schemas.openxmlformats.org/officeDocument/2006/relationships" name="14_出典と限界" sheetId="15" state="visible" r:id="rId15"/>
  </sheets>
  <definedNames>
    <definedName name="PoolSize">'05_計算'!$B$5</definedName>
    <definedName name="BlockerSec">'05_計算'!$B$6</definedName>
    <definedName name="TimeoutShort">'05_計算'!$B$7</definedName>
    <definedName name="TimeoutLong">'05_計算'!$B$8</definedName>
    <definedName name="_xlnm._FilterDatabase" localSheetId="0" hidden="1">'00_読み方'!$A$20:$D$34</definedName>
    <definedName name="_xlnm.Print_Titles" localSheetId="0">'00_読み方'!$1:$2</definedName>
    <definedName name="_xlnm.Print_Area" localSheetId="0">'00_読み方'!$A$1:$D$36</definedName>
    <definedName name="_xlnm._FilterDatabase" localSheetId="1" hidden="1">'01_たとえ'!$A$4:$D$17</definedName>
    <definedName name="_xlnm.Print_Titles" localSheetId="1">'01_たとえ'!$1:$4</definedName>
    <definedName name="_xlnm.Print_Area" localSheetId="1">'01_たとえ'!$A$1:$D$19</definedName>
    <definedName name="_xlnm._FilterDatabase" localSheetId="2" hidden="1">'02_何が変わるか'!$A$4:$D$17</definedName>
    <definedName name="_xlnm.Print_Titles" localSheetId="2">'02_何が変わるか'!$1:$4</definedName>
    <definedName name="_xlnm.Print_Area" localSheetId="2">'02_何が変わるか'!$A$1:$D$19</definedName>
    <definedName name="_xlnm._FilterDatabase" localSheetId="3" hidden="1">'03_動作原理'!$A$4:$D$17</definedName>
    <definedName name="_xlnm.Print_Titles" localSheetId="3">'03_動作原理'!$1:$4</definedName>
    <definedName name="_xlnm.Print_Area" localSheetId="3">'03_動作原理'!$A$1:$D$19</definedName>
    <definedName name="_xlnm.Print_Titles" localSheetId="4">'04_時間の絵'!$1:$6</definedName>
    <definedName name="_xlnm.Print_Area" localSheetId="4">'04_時間の絵'!$A$1:$O$22</definedName>
    <definedName name="_xlnm.Print_Titles" localSheetId="5">'05_計算'!$1:$2</definedName>
    <definedName name="_xlnm.Print_Area" localSheetId="5">'05_計算'!$A$1:$D$22</definedName>
    <definedName name="_xlnm._FilterDatabase" localSheetId="6" hidden="1">'06_歴史'!$A$4:$D$21</definedName>
    <definedName name="_xlnm.Print_Titles" localSheetId="6">'06_歴史'!$1:$4</definedName>
    <definedName name="_xlnm.Print_Area" localSheetId="6">'06_歴史'!$A$1:$D$23</definedName>
    <definedName name="_xlnm._FilterDatabase" localSheetId="7" hidden="1">'07_メリット'!$A$4:$D$10</definedName>
    <definedName name="_xlnm.Print_Titles" localSheetId="7">'07_メリット'!$1:$4</definedName>
    <definedName name="_xlnm.Print_Area" localSheetId="7">'07_メリット'!$A$1:$D$12</definedName>
    <definedName name="_xlnm._FilterDatabase" localSheetId="8" hidden="1">'08_デメリット'!$A$4:$D$16</definedName>
    <definedName name="_xlnm.Print_Titles" localSheetId="8">'08_デメリット'!$1:$4</definedName>
    <definedName name="_xlnm.Print_Area" localSheetId="8">'08_デメリット'!$A$1:$D$18</definedName>
    <definedName name="_xlnm._FilterDatabase" localSheetId="9" hidden="1">'09_Aurora'!$A$4:$D$18</definedName>
    <definedName name="_xlnm.Print_Titles" localSheetId="9">'09_Aurora'!$1:$4</definedName>
    <definedName name="_xlnm.Print_Area" localSheetId="9">'09_Aurora'!$A$1:$D$20</definedName>
    <definedName name="_xlnm._FilterDatabase" localSheetId="10" hidden="1">'10_エラーの戻り方'!$A$4:$D$16</definedName>
    <definedName name="_xlnm.Print_Titles" localSheetId="10">'10_エラーの戻り方'!$1:$4</definedName>
    <definedName name="_xlnm.Print_Area" localSheetId="10">'10_エラーの戻り方'!$A$1:$D$18</definedName>
    <definedName name="_xlnm._FilterDatabase" localSheetId="11" hidden="1">'11_ほかの制限時間'!$A$4:$D$16</definedName>
    <definedName name="_xlnm.Print_Titles" localSheetId="11">'11_ほかの制限時間'!$1:$4</definedName>
    <definedName name="_xlnm.Print_Area" localSheetId="11">'11_ほかの制限時間'!$A$1:$D$18</definedName>
    <definedName name="_xlnm._FilterDatabase" localSheetId="12" hidden="1">'12_判断'!$A$4:$C$15</definedName>
    <definedName name="_xlnm.Print_Titles" localSheetId="12">'12_判断'!$1:$4</definedName>
    <definedName name="_xlnm.Print_Area" localSheetId="12">'12_判断'!$A$1:$C$17</definedName>
    <definedName name="_xlnm._FilterDatabase" localSheetId="13" hidden="1">'13_監視'!$A$4:$C$21</definedName>
    <definedName name="_xlnm.Print_Titles" localSheetId="13">'13_監視'!$1:$4</definedName>
    <definedName name="_xlnm.Print_Area" localSheetId="13">'13_監視'!$A$1:$C$25</definedName>
    <definedName name="_xlnm._FilterDatabase" localSheetId="14" hidden="1">'14_出典と限界'!$A$4:$C$27</definedName>
    <definedName name="_xlnm.Print_Titles" localSheetId="14">'14_出典と限界'!$1:$4</definedName>
    <definedName name="_xlnm.Print_Area" localSheetId="14">'14_出典と限界'!$A$1:$C$29</definedName>
  </definedNames>
  <calcPr calcId="124519" calcMode="auto" fullCalcOnLoad="1"/>
</workbook>
</file>

<file path=xl/styles.xml><?xml version="1.0" encoding="utf-8"?>
<styleSheet xmlns="http://schemas.openxmlformats.org/spreadsheetml/2006/main">
  <numFmts count="0"/>
  <fonts count="24">
    <font>
      <name val="Meiryo UI"/>
      <family val="2"/>
      <color theme="1"/>
      <sz val="11"/>
    </font>
    <font>
      <name val="Meiryo UI"/>
      <b val="1"/>
      <color rgb="00FFFFFF"/>
      <sz val="18"/>
    </font>
    <font>
      <name val="Meiryo UI"/>
      <color rgb="00F2F2F2"/>
      <sz val="10"/>
    </font>
    <font>
      <name val="Meiryo UI"/>
      <color rgb="001A1A1A"/>
      <sz val="8"/>
    </font>
    <font>
      <name val="Meiryo UI"/>
      <b val="1"/>
      <color rgb="00FFFFFF"/>
      <sz val="12"/>
    </font>
    <font>
      <name val="Meiryo UI"/>
      <color rgb="001A1A1A"/>
      <sz val="12"/>
    </font>
    <font>
      <name val="Meiryo UI"/>
      <b val="1"/>
      <color rgb="00FFFFFF"/>
      <sz val="11"/>
    </font>
    <font>
      <name val="Meiryo UI"/>
      <b val="1"/>
      <color rgb="001A1A1A"/>
      <sz val="10"/>
    </font>
    <font>
      <name val="Meiryo UI"/>
      <color rgb="001A1A1A"/>
      <sz val="10"/>
    </font>
    <font>
      <name val="Meiryo UI"/>
      <i val="1"/>
      <color rgb="00595959"/>
      <sz val="9"/>
    </font>
    <font>
      <name val="Meiryo UI"/>
      <i val="1"/>
      <color rgb="00595959"/>
      <sz val="10"/>
    </font>
    <font>
      <name val="Meiryo UI"/>
      <b val="1"/>
      <color rgb="00FFFFFF"/>
      <sz val="10"/>
    </font>
    <font>
      <name val="Meiryo UI"/>
      <b val="1"/>
      <color rgb="00595959"/>
      <sz val="10"/>
    </font>
    <font>
      <name val="Meiryo UI"/>
      <b val="1"/>
      <color rgb="00FFFFFF"/>
      <sz val="9"/>
    </font>
    <font>
      <name val="Meiryo UI"/>
      <b val="1"/>
      <color rgb="001A1A1A"/>
      <sz val="9"/>
    </font>
    <font>
      <name val="Meiryo UI"/>
      <b val="1"/>
      <color rgb="00FFFFFF"/>
      <sz val="8"/>
    </font>
    <font>
      <name val="Meiryo UI"/>
      <b val="1"/>
      <color rgb="00595959"/>
      <sz val="8"/>
    </font>
    <font>
      <name val="Meiryo UI"/>
      <color rgb="001A1A1A"/>
      <sz val="9"/>
    </font>
    <font>
      <name val="Meiryo UI"/>
      <b val="1"/>
      <color rgb="001A1A1A"/>
      <sz val="8"/>
    </font>
    <font>
      <name val="Meiryo UI"/>
      <b val="1"/>
      <color rgb="001A1A1A"/>
      <sz val="11"/>
    </font>
    <font>
      <name val="Meiryo UI"/>
      <b val="1"/>
      <color rgb="001A1A1A"/>
      <sz val="14"/>
    </font>
    <font>
      <name val="Meiryo UI"/>
      <color rgb="001A1A1A"/>
      <sz val="11"/>
    </font>
    <font>
      <name val="Meiryo UI"/>
      <b val="1"/>
      <color rgb="001A1A1A"/>
      <sz val="12"/>
    </font>
    <font>
      <name val="Meiryo UI"/>
      <color rgb="00333333"/>
      <sz val="10"/>
      <u val="single"/>
    </font>
  </fonts>
  <fills count="14">
    <fill>
      <patternFill/>
    </fill>
    <fill>
      <patternFill patternType="gray125"/>
    </fill>
    <fill>
      <patternFill patternType="solid">
        <fgColor rgb="001F1F1F"/>
      </patternFill>
    </fill>
    <fill>
      <patternFill patternType="solid">
        <fgColor rgb="003A3A3A"/>
      </patternFill>
    </fill>
    <fill>
      <patternFill patternType="solid">
        <fgColor rgb="00FFFFFF"/>
      </patternFill>
    </fill>
    <fill>
      <patternFill patternType="solid">
        <fgColor rgb="002B2B2B"/>
      </patternFill>
    </fill>
    <fill>
      <patternFill patternType="solid">
        <fgColor rgb="00E6E6E6"/>
      </patternFill>
    </fill>
    <fill>
      <patternFill patternType="solid">
        <fgColor rgb="00F5F5F5"/>
      </patternFill>
    </fill>
    <fill>
      <patternFill patternType="solid">
        <fgColor rgb="00D0D0D0"/>
      </patternFill>
    </fill>
    <fill>
      <patternFill patternType="solid">
        <fgColor rgb="00EEEEEE"/>
      </patternFill>
    </fill>
    <fill>
      <patternFill patternType="solid">
        <fgColor rgb="007A7A7A"/>
      </patternFill>
    </fill>
    <fill>
      <patternFill patternType="solid">
        <fgColor rgb="00D9D9D9"/>
      </patternFill>
    </fill>
    <fill>
      <patternFill patternType="solid">
        <fgColor rgb="00141414"/>
      </patternFill>
    </fill>
    <fill>
      <patternFill patternType="solid">
        <fgColor rgb="00F7F7F7"/>
      </patternFill>
    </fill>
  </fills>
  <borders count="7">
    <border>
      <left/>
      <right/>
      <top/>
      <bottom/>
      <diagonal/>
    </border>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51">
    <xf numFmtId="0" fontId="0" fillId="0" borderId="0" pivotButton="0" quotePrefix="0" xfId="0"/>
    <xf numFmtId="0" fontId="1" fillId="2" borderId="1" applyAlignment="1" pivotButton="0" quotePrefix="0" xfId="0">
      <alignment horizontal="left" vertical="center" wrapText="1" indent="1"/>
    </xf>
    <xf numFmtId="0" fontId="1" fillId="2" borderId="1" pivotButton="0" quotePrefix="0" xfId="0"/>
    <xf numFmtId="0" fontId="2" fillId="3" borderId="1" applyAlignment="1" pivotButton="0" quotePrefix="0" xfId="0">
      <alignment horizontal="left" vertical="center" wrapText="1" indent="1"/>
    </xf>
    <xf numFmtId="0" fontId="2" fillId="3" borderId="1" pivotButton="0" quotePrefix="0" xfId="0"/>
    <xf numFmtId="0" fontId="3" fillId="4" borderId="1" pivotButton="0" quotePrefix="0" xfId="0"/>
    <xf numFmtId="0" fontId="4" fillId="5" borderId="2" applyAlignment="1" pivotButton="0" quotePrefix="0" xfId="0">
      <alignment horizontal="center" vertical="center" wrapText="1"/>
    </xf>
    <xf numFmtId="0" fontId="5" fillId="4" borderId="2" applyAlignment="1" pivotButton="0" quotePrefix="0" xfId="0">
      <alignment horizontal="left" vertical="center" wrapText="1"/>
    </xf>
    <xf numFmtId="0" fontId="6" fillId="5" borderId="2" applyAlignment="1" pivotButton="0" quotePrefix="0" xfId="0">
      <alignment horizontal="center" vertical="center" wrapText="1"/>
    </xf>
    <xf numFmtId="0" fontId="7" fillId="6" borderId="2" applyAlignment="1" pivotButton="0" quotePrefix="0" xfId="0">
      <alignment horizontal="left" vertical="center" wrapText="1"/>
    </xf>
    <xf numFmtId="0" fontId="8" fillId="4" borderId="2" applyAlignment="1" pivotButton="0" quotePrefix="0" xfId="0">
      <alignment horizontal="left" vertical="center" wrapText="1"/>
    </xf>
    <xf numFmtId="0" fontId="8" fillId="7" borderId="2" applyAlignment="1" pivotButton="0" quotePrefix="0" xfId="0">
      <alignment horizontal="left" vertical="center" wrapText="1"/>
    </xf>
    <xf numFmtId="0" fontId="9" fillId="4" borderId="1" applyAlignment="1" pivotButton="0" quotePrefix="0" xfId="0">
      <alignment vertical="center" wrapText="1"/>
    </xf>
    <xf numFmtId="0" fontId="7" fillId="8" borderId="2" applyAlignment="1" pivotButton="0" quotePrefix="0" xfId="0">
      <alignment horizontal="left" vertical="center" wrapText="1"/>
    </xf>
    <xf numFmtId="0" fontId="10" fillId="9" borderId="2" applyAlignment="1" pivotButton="0" quotePrefix="0" xfId="0">
      <alignment horizontal="left" vertical="center" wrapText="1"/>
    </xf>
    <xf numFmtId="0" fontId="9" fillId="4" borderId="1" applyAlignment="1" pivotButton="0" quotePrefix="0" xfId="0">
      <alignment horizontal="left" vertical="center" wrapText="1"/>
    </xf>
    <xf numFmtId="0" fontId="11" fillId="5" borderId="2" applyAlignment="1" pivotButton="0" quotePrefix="0" xfId="0">
      <alignment horizontal="center" vertical="center" wrapText="1"/>
    </xf>
    <xf numFmtId="0" fontId="11" fillId="10" borderId="2" applyAlignment="1" pivotButton="0" quotePrefix="0" xfId="0">
      <alignment horizontal="center" vertical="center" wrapText="1"/>
    </xf>
    <xf numFmtId="0" fontId="7" fillId="11" borderId="2" applyAlignment="1" pivotButton="0" quotePrefix="0" xfId="0">
      <alignment horizontal="center" vertical="center" wrapText="1"/>
    </xf>
    <xf numFmtId="0" fontId="11" fillId="12" borderId="2" applyAlignment="1" pivotButton="0" quotePrefix="0" xfId="0">
      <alignment horizontal="center" vertical="center" wrapText="1"/>
    </xf>
    <xf numFmtId="0" fontId="12" fillId="13" borderId="2" applyAlignment="1" pivotButton="0" quotePrefix="0" xfId="0">
      <alignment horizontal="center" vertical="center" wrapText="1"/>
    </xf>
    <xf numFmtId="0" fontId="13" fillId="5" borderId="2" applyAlignment="1" pivotButton="0" quotePrefix="0" xfId="0">
      <alignment horizontal="center" vertical="center"/>
    </xf>
    <xf numFmtId="0" fontId="11" fillId="5" borderId="2" applyAlignment="1" pivotButton="0" quotePrefix="0" xfId="0">
      <alignment horizontal="center" vertical="center"/>
    </xf>
    <xf numFmtId="0" fontId="6" fillId="3" borderId="2" applyAlignment="1" pivotButton="0" quotePrefix="0" xfId="0">
      <alignment horizontal="left" vertical="center" indent="1"/>
    </xf>
    <xf numFmtId="0" fontId="6" fillId="3" borderId="1" pivotButton="0" quotePrefix="0" xfId="0"/>
    <xf numFmtId="0" fontId="14" fillId="6" borderId="2" applyAlignment="1" pivotButton="0" quotePrefix="0" xfId="0">
      <alignment horizontal="left" vertical="center" wrapText="1"/>
    </xf>
    <xf numFmtId="0" fontId="15" fillId="5" borderId="2" applyAlignment="1" pivotButton="0" quotePrefix="0" xfId="0">
      <alignment horizontal="center" vertical="center" wrapText="1"/>
    </xf>
    <xf numFmtId="0" fontId="16" fillId="13" borderId="2" applyAlignment="1" pivotButton="0" quotePrefix="0" xfId="0">
      <alignment horizontal="center" vertical="center" wrapText="1"/>
    </xf>
    <xf numFmtId="0" fontId="17" fillId="4" borderId="2" applyAlignment="1" pivotButton="0" quotePrefix="0" xfId="0">
      <alignment horizontal="left" vertical="center" wrapText="1"/>
    </xf>
    <xf numFmtId="0" fontId="15" fillId="10" borderId="2" applyAlignment="1" pivotButton="0" quotePrefix="0" xfId="0">
      <alignment horizontal="center" vertical="center" wrapText="1"/>
    </xf>
    <xf numFmtId="0" fontId="18" fillId="11" borderId="2" applyAlignment="1" pivotButton="0" quotePrefix="0" xfId="0">
      <alignment horizontal="center" vertical="center" wrapText="1"/>
    </xf>
    <xf numFmtId="0" fontId="15" fillId="12" borderId="2" applyAlignment="1" pivotButton="0" quotePrefix="0" xfId="0">
      <alignment horizontal="center" vertical="center" wrapText="1"/>
    </xf>
    <xf numFmtId="0" fontId="6" fillId="5" borderId="2" applyAlignment="1" pivotButton="0" quotePrefix="0" xfId="0">
      <alignment horizontal="center" vertical="center"/>
    </xf>
    <xf numFmtId="0" fontId="19" fillId="6" borderId="2" applyAlignment="1" pivotButton="0" quotePrefix="0" xfId="0">
      <alignment vertical="center" wrapText="1" indent="1"/>
    </xf>
    <xf numFmtId="3" fontId="20" fillId="8" borderId="2" applyAlignment="1" pivotButton="0" quotePrefix="0" xfId="0">
      <alignment horizontal="center" vertical="center"/>
    </xf>
    <xf numFmtId="0" fontId="21" fillId="4" borderId="2" applyAlignment="1" pivotButton="0" quotePrefix="0" xfId="0">
      <alignment horizontal="center" vertical="center"/>
    </xf>
    <xf numFmtId="0" fontId="8" fillId="4" borderId="2" applyAlignment="1" pivotButton="0" quotePrefix="0" xfId="0">
      <alignment vertical="center" wrapText="1"/>
    </xf>
    <xf numFmtId="0" fontId="7" fillId="6" borderId="2" applyAlignment="1" pivotButton="0" quotePrefix="0" xfId="0">
      <alignment vertical="center" wrapText="1" indent="1"/>
    </xf>
    <xf numFmtId="3" fontId="22" fillId="4" borderId="2" applyAlignment="1" pivotButton="0" quotePrefix="0" xfId="0">
      <alignment horizontal="center" vertical="center" wrapText="1"/>
    </xf>
    <xf numFmtId="3" fontId="22" fillId="7" borderId="2" applyAlignment="1" pivotButton="0" quotePrefix="0" xfId="0">
      <alignment horizontal="center" vertical="center" wrapText="1"/>
    </xf>
    <xf numFmtId="0" fontId="22" fillId="4" borderId="2" applyAlignment="1" pivotButton="0" quotePrefix="0" xfId="0">
      <alignment horizontal="center" vertical="center" wrapText="1"/>
    </xf>
    <xf numFmtId="0" fontId="22" fillId="7" borderId="2" applyAlignment="1" pivotButton="0" quotePrefix="0" xfId="0">
      <alignment horizontal="center" vertical="center" wrapText="1"/>
    </xf>
    <xf numFmtId="2" fontId="22" fillId="4" borderId="2" applyAlignment="1" pivotButton="0" quotePrefix="0" xfId="0">
      <alignment horizontal="center" vertical="center" wrapText="1"/>
    </xf>
    <xf numFmtId="2" fontId="22" fillId="7" borderId="2" applyAlignment="1" pivotButton="0" quotePrefix="0" xfId="0">
      <alignment horizontal="center" vertical="center" wrapText="1"/>
    </xf>
    <xf numFmtId="0" fontId="7" fillId="9" borderId="2" applyAlignment="1" pivotButton="0" quotePrefix="0" xfId="0">
      <alignment vertical="center" wrapText="1" indent="1"/>
    </xf>
    <xf numFmtId="0" fontId="8" fillId="9" borderId="2" applyAlignment="1" pivotButton="0" quotePrefix="0" xfId="0">
      <alignment vertical="center" wrapText="1"/>
    </xf>
    <xf numFmtId="0" fontId="8" fillId="9" borderId="2" pivotButton="0" quotePrefix="0" xfId="0"/>
    <xf numFmtId="0" fontId="17" fillId="9" borderId="2" applyAlignment="1" pivotButton="0" quotePrefix="0" xfId="0">
      <alignment vertical="top" wrapText="1"/>
    </xf>
    <xf numFmtId="0" fontId="17" fillId="9" borderId="2" pivotButton="0" quotePrefix="0" xfId="0"/>
    <xf numFmtId="0" fontId="23" fillId="4" borderId="2" applyAlignment="1" pivotButton="0" quotePrefix="0" xfId="0">
      <alignment horizontal="left" vertical="center" wrapText="1"/>
    </xf>
    <xf numFmtId="0" fontId="23" fillId="7"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説明</author>
  </authors>
  <commentList>
    <comment ref="B5" authorId="0" shapeId="0">
      <text>
        <t>このセルだけ変える。結果は下の式が計算する。測定値にはならない。</t>
      </text>
    </comment>
    <comment ref="B6" authorId="0" shapeId="0">
      <text>
        <t>このセルだけ変える。結果は下の式が計算する。測定値にはならない。</t>
      </text>
    </comment>
    <comment ref="B7" authorId="0" shapeId="0">
      <text>
        <t>このセルだけ変える。結果は下の式が計算する。測定値にはならない。</t>
      </text>
    </comment>
    <comment ref="B8" authorId="0" shapeId="0">
      <text>
        <t>このセルだけ変える。結果は下の式が計算する。測定値にはならない。</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5.xml.rels><Relationships xmlns="http://schemas.openxmlformats.org/package/2006/relationships"><Relationship Type="http://schemas.openxmlformats.org/officeDocument/2006/relationships/hyperlink" Target="https://dev.mysql.com/doc/refman/8.4/en/innodb-parameters.html#sysvar_innodb_lock_wait_timeout" TargetMode="External" Id="rId1"/><Relationship Type="http://schemas.openxmlformats.org/officeDocument/2006/relationships/hyperlink" Target="https://dev.mysql.com/doc/refman/8.4/en/innodb-error-handling.html" TargetMode="External" Id="rId2"/><Relationship Type="http://schemas.openxmlformats.org/officeDocument/2006/relationships/hyperlink" Target="https://dev.mysql.com/doc/refman/8.4/en/innodb-deadlock-detection.html" TargetMode="External" Id="rId3"/><Relationship Type="http://schemas.openxmlformats.org/officeDocument/2006/relationships/hyperlink" Target="https://dev.mysql.com/doc/refman/8.4/en/innodb-locking.html" TargetMode="External" Id="rId4"/><Relationship Type="http://schemas.openxmlformats.org/officeDocument/2006/relationships/hyperlink" Target="https://dev.mysql.com/doc/refman/8.4/en/server-system-variables.html#sysvar_lock_wait_timeout" TargetMode="External" Id="rId5"/><Relationship Type="http://schemas.openxmlformats.org/officeDocument/2006/relationships/hyperlink" Target="https://dev.mysql.com/doc/mysql-errors/8.4/en/server-error-reference.html#error_er_lock_wait_timeout" TargetMode="External" Id="rId6"/><Relationship Type="http://schemas.openxmlformats.org/officeDocument/2006/relationships/hyperlink" Target="https://dev.mysql.com/doc/refman/8.4/en/sys-innodb-lock-waits.html" TargetMode="External" Id="rId7"/><Relationship Type="http://schemas.openxmlformats.org/officeDocument/2006/relationships/hyperlink" Target="https://raw.githubusercontent.com/mysql/mysql-server/8.4/storage/innobase/lock/lock0wait.cc" TargetMode="External" Id="rId8"/><Relationship Type="http://schemas.openxmlformats.org/officeDocument/2006/relationships/hyperlink" Target="https://bugs.mysql.com/bug.php?id=12308" TargetMode="External" Id="rId9"/><Relationship Type="http://schemas.openxmlformats.org/officeDocument/2006/relationships/hyperlink" Target="https://web.archive.org/web/20181115071936/http://www.oracle.com/us/corporate/press/016679_EN" TargetMode="External" Id="rId10"/><Relationship Type="http://schemas.openxmlformats.org/officeDocument/2006/relationships/hyperlink" Target="https://docs.oracle.com/cd/E17952_01/mysql-5.7-relnotes-en/news-5-7-15.html" TargetMode="External" Id="rId11"/><Relationship Type="http://schemas.openxmlformats.org/officeDocument/2006/relationships/hyperlink" Target="https://dev.mysql.com/doc/refman/8.4/en/mysql-nutshell.html" TargetMode="External" Id="rId12"/><Relationship Type="http://schemas.openxmlformats.org/officeDocument/2006/relationships/hyperlink" Target="https://www.percona.com/blog/mysql-5-5-lock_wait_timeout-patience-is-a-virtue-and-a-locked-server/" TargetMode="External" Id="rId13"/><Relationship Type="http://schemas.openxmlformats.org/officeDocument/2006/relationships/hyperlink" Target="https://www.percona.com/blog/the-transaction-behavior-impact-of-innodb_rollback_on_timeout-in-mysql/" TargetMode="External" Id="rId14"/><Relationship Type="http://schemas.openxmlformats.org/officeDocument/2006/relationships/hyperlink" Target="https://aws.amazon.com/blogs/database/amazon-aurora-mysql-8-4-is-now-generally-available/" TargetMode="External" Id="rId15"/><Relationship Type="http://schemas.openxmlformats.org/officeDocument/2006/relationships/hyperlink" Target="https://docs.aws.amazon.com/AmazonRDS/latest/AuroraUserGuide/AuroraMySQL.TransactionTimeout.html" TargetMode="External" Id="rId16"/><Relationship Type="http://schemas.openxmlformats.org/officeDocument/2006/relationships/hyperlink" Target="https://docs.aws.amazon.com/AmazonRDS/latest/AuroraUserGuide/AuroraMySQL.Reference.ParameterGroups.html" TargetMode="External" Id="rId17"/><Relationship Type="http://schemas.openxmlformats.org/officeDocument/2006/relationships/hyperlink" Target="https://docs.aws.amazon.com/AmazonRDS/latest/AuroraUserGuide/aurora-serverless-v2.how-it-works.html" TargetMode="External" Id="rId18"/><Relationship Type="http://schemas.openxmlformats.org/officeDocument/2006/relationships/hyperlink" Target="https://docs.aws.amazon.com/AmazonRDS/latest/AuroraUserGuide/ams-waits.row-lock-wait.html" TargetMode="External" Id="rId19"/></Relationships>
</file>

<file path=xl/worksheets/sheet1.xml><?xml version="1.0" encoding="utf-8"?>
<worksheet xmlns="http://schemas.openxmlformats.org/spreadsheetml/2006/main">
  <sheetPr>
    <tabColor rgb="001F1F1F"/>
    <outlinePr summaryBelow="1" summaryRight="1"/>
    <pageSetUpPr fitToPage="1"/>
  </sheetPr>
  <dimension ref="A1:D36"/>
  <sheetViews>
    <sheetView showGridLines="0" showRowColHeaders="1" view="normal" zoomScale="110" workbookViewId="0">
      <pane ySplit="20" topLeftCell="A21" activePane="bottomLeft" state="frozen"/>
      <selection pane="bottomLeft" activeCell="A1" sqref="A1"/>
    </sheetView>
  </sheetViews>
  <sheetFormatPr baseColWidth="8" defaultRowHeight="18"/>
  <cols>
    <col width="28" customWidth="1" min="1" max="1"/>
    <col width="42" customWidth="1" min="2" max="2"/>
    <col width="55" customWidth="1" min="3" max="3"/>
    <col width="42" customWidth="1" min="4" max="4"/>
  </cols>
  <sheetData>
    <row r="1" ht="42" customHeight="1">
      <c r="A1" s="1" t="inlineStr">
        <is>
          <t>待つ人のベルを、50秒から120秒に遅らせると何が起きるか</t>
        </is>
      </c>
      <c r="B1" s="2" t="n"/>
      <c r="C1" s="2" t="n"/>
      <c r="D1" s="2" t="n"/>
    </row>
    <row r="2" ht="46" customHeight="1">
      <c r="A2" s="3" t="inlineStr">
        <is>
          <t>Aurora MySQL Serverless v2（コミュニティ MySQL 8.4.7 互換）  ／  innodb_lock_wait_timeout  ／  調査日 2026-10-08</t>
        </is>
      </c>
      <c r="B2" s="4" t="n"/>
      <c r="C2" s="4" t="n"/>
      <c r="D2" s="4" t="n"/>
    </row>
    <row r="3" ht="10" customHeight="1">
      <c r="A3" s="5" t="n"/>
    </row>
    <row r="4"/>
    <row r="5" ht="24" customHeight="1">
      <c r="A5" s="6" t="inlineStr">
        <is>
          <t>一文の結論</t>
        </is>
      </c>
      <c r="B5" s="7" t="inlineStr">
        <is>
          <t>120秒にしても、鉛筆を持っている人は早く戻らない。遅くなるのは、列の人が諦めるベルだけである。</t>
        </is>
      </c>
      <c r="C5" s="7" t="n"/>
      <c r="D5" s="7" t="n"/>
    </row>
    <row r="6" ht="48" customHeight="1">
      <c r="A6" s="6" t="n"/>
      <c r="B6" s="7" t="n"/>
      <c r="C6" s="7" t="n"/>
      <c r="D6" s="7" t="n"/>
    </row>
    <row r="7"/>
    <row r="8" ht="24" customHeight="1">
      <c r="A8" s="6" t="inlineStr">
        <is>
          <t>差が出る帯</t>
        </is>
      </c>
      <c r="B8" s="7" t="inlineStr">
        <is>
          <t>相手がロックを放すのが50秒以内なら、50でも120でも結果は同じ。50秒を超え120秒以内なら、120だけ成功し得る。120秒を超えて放置されるなら、両方失敗し、120の方が接続を最大70秒長く塞ぐ。</t>
        </is>
      </c>
      <c r="C8" s="7" t="n"/>
      <c r="D8" s="7" t="n"/>
    </row>
    <row r="9" ht="48" customHeight="1">
      <c r="A9" s="6" t="n"/>
      <c r="B9" s="7" t="n"/>
      <c r="C9" s="7" t="n"/>
      <c r="D9" s="7" t="n"/>
    </row>
    <row r="10"/>
    <row r="11" ht="24" customHeight="1">
      <c r="A11" s="6" t="inlineStr">
        <is>
          <t>このブックの読み方</t>
        </is>
      </c>
      <c r="B11" s="7" t="inlineStr">
        <is>
          <t>01は小学生向けのたとえ。02で何が変わるかを表にする。03が動作原理。04が時間の絵。05は自分の数字で計算する。06が歴史。07と08がメリットとデメリット。09がAurora。10がエラーの戻り方。11がほかの制限時間。12が判断。13が監視。14が出典と、まだ確かでないこと。</t>
        </is>
      </c>
      <c r="C11" s="7" t="n"/>
      <c r="D11" s="7" t="n"/>
    </row>
    <row r="12" ht="48" customHeight="1">
      <c r="A12" s="6" t="n"/>
      <c r="B12" s="7" t="n"/>
      <c r="C12" s="7" t="n"/>
      <c r="D12" s="7" t="n"/>
    </row>
    <row r="13"/>
    <row r="14" ht="24" customHeight="1">
      <c r="A14" s="6" t="inlineStr">
        <is>
          <t>色の読み方</t>
        </is>
      </c>
      <c r="B14" s="7" t="inlineStr">
        <is>
          <t>黒に近い灰色は、ロックを持っている側、または失敗。中間の灰色は、待っている側。薄い灰色は成功、または強調。色は状態の濃さだけを表し、青や赤は使っていない。</t>
        </is>
      </c>
      <c r="C14" s="7" t="n"/>
      <c r="D14" s="7" t="n"/>
    </row>
    <row r="15" ht="48" customHeight="1">
      <c r="A15" s="6" t="n"/>
      <c r="B15" s="7" t="n"/>
      <c r="C15" s="7" t="n"/>
      <c r="D15" s="7" t="n"/>
    </row>
    <row r="16"/>
    <row r="17" ht="24" customHeight="1">
      <c r="A17" s="6" t="inlineStr">
        <is>
          <t>数字の読み方</t>
        </is>
      </c>
      <c r="B17" s="7" t="inlineStr">
        <is>
          <t>70秒、2.4倍、14000接続秒は、測定結果ではない。120引く50、120割る50、本数かける秒数、という算術である。50対120の公開ベンチマークは、この調査では見つかっていない。</t>
        </is>
      </c>
      <c r="C17" s="7" t="n"/>
      <c r="D17" s="7" t="n"/>
    </row>
    <row r="18" ht="48" customHeight="1">
      <c r="A18" s="6" t="n"/>
      <c r="B18" s="7" t="n"/>
      <c r="C18" s="7" t="n"/>
      <c r="D18" s="7" t="n"/>
    </row>
    <row r="19" ht="10" customHeight="1"/>
    <row r="20" ht="24" customHeight="1">
      <c r="A20" s="8" t="inlineStr">
        <is>
          <t>シート</t>
        </is>
      </c>
      <c r="B20" s="8" t="inlineStr">
        <is>
          <t>見ること</t>
        </is>
      </c>
      <c r="C20" s="8" t="inlineStr">
        <is>
          <t>向いている人</t>
        </is>
      </c>
      <c r="D20" s="8" t="inlineStr">
        <is>
          <t>持ち帰る一文</t>
        </is>
      </c>
    </row>
    <row r="21" ht="32" customHeight="1">
      <c r="A21" s="9" t="inlineStr">
        <is>
          <t>01_たとえ</t>
        </is>
      </c>
      <c r="B21" s="10" t="inlineStr">
        <is>
          <t>図書館の鉛筆と、三つの終わり方</t>
        </is>
      </c>
      <c r="C21" s="10" t="inlineStr">
        <is>
          <t>はじめて読む人</t>
        </is>
      </c>
      <c r="D21" s="10" t="inlineStr">
        <is>
          <t>ベルは持つ人を呼びに行かない</t>
        </is>
      </c>
    </row>
    <row r="22" ht="32" customHeight="1">
      <c r="A22" s="9" t="inlineStr">
        <is>
          <t>02_何が変わるか</t>
        </is>
      </c>
      <c r="B22" s="11" t="inlineStr">
        <is>
          <t>50秒と120秒で同じものと、違うもの</t>
        </is>
      </c>
      <c r="C22" s="11" t="inlineStr">
        <is>
          <t>設計を判断する人</t>
        </is>
      </c>
      <c r="D22" s="11" t="inlineStr">
        <is>
          <t>差が出るのは50秒超の保持だけ</t>
        </is>
      </c>
    </row>
    <row r="23" ht="32" customHeight="1">
      <c r="A23" s="9" t="inlineStr">
        <is>
          <t>03_動作原理</t>
        </is>
      </c>
      <c r="B23" s="10" t="inlineStr">
        <is>
          <t>タイマー、待つロック、待たない読み取り</t>
        </is>
      </c>
      <c r="C23" s="10" t="inlineStr">
        <is>
          <t>実装を読む人</t>
        </is>
      </c>
      <c r="D23" s="10" t="inlineStr">
        <is>
          <t>数えるのは待ち時間であり、文の全体ではない</t>
        </is>
      </c>
    </row>
    <row r="24" ht="32" customHeight="1">
      <c r="A24" s="9" t="inlineStr">
        <is>
          <t>04_時間の絵</t>
        </is>
      </c>
      <c r="B24" s="11" t="inlineStr">
        <is>
          <t>30秒、80秒、放置の三本</t>
        </is>
      </c>
      <c r="C24" s="11" t="inlineStr">
        <is>
          <t>絵で見たい人</t>
        </is>
      </c>
      <c r="D24" s="11" t="inlineStr">
        <is>
          <t>成功が増えるのは真ん中の帯だけ</t>
        </is>
      </c>
    </row>
    <row r="25" ht="32" customHeight="1">
      <c r="A25" s="9" t="inlineStr">
        <is>
          <t>05_計算</t>
        </is>
      </c>
      <c r="B25" s="10" t="inlineStr">
        <is>
          <t>プール本数と放す秒を入れて占有を比べる</t>
        </is>
      </c>
      <c r="C25" s="10" t="inlineStr">
        <is>
          <t>容量を見積もる人</t>
        </is>
      </c>
      <c r="D25" s="10" t="inlineStr">
        <is>
          <t>入力を変えても、これは測定ではない</t>
        </is>
      </c>
    </row>
    <row r="26" ht="32" customHeight="1">
      <c r="A26" s="9" t="inlineStr">
        <is>
          <t>06_歴史</t>
        </is>
      </c>
      <c r="B26" s="11" t="inlineStr">
        <is>
          <t>なぜベルが要り、なぜ50秒と文書に残ったか</t>
        </is>
      </c>
      <c r="C26" s="11" t="inlineStr">
        <is>
          <t>経緯を知りたい人</t>
        </is>
      </c>
      <c r="D26" s="11" t="inlineStr">
        <is>
          <t>50を選んだ手紙は見つかっていない</t>
        </is>
      </c>
    </row>
    <row r="27" ht="32" customHeight="1">
      <c r="A27" s="9" t="inlineStr">
        <is>
          <t>07_メリット</t>
        </is>
      </c>
      <c r="B27" s="10" t="inlineStr">
        <is>
          <t>上げて意味がある条件</t>
        </is>
      </c>
      <c r="C27" s="10" t="inlineStr">
        <is>
          <t>変更を提案する人</t>
        </is>
      </c>
      <c r="D27" s="10" t="inlineStr">
        <is>
          <t>意味があるのは、測った裾がその帯にあるとき</t>
        </is>
      </c>
    </row>
    <row r="28" ht="32" customHeight="1">
      <c r="A28" s="9" t="inlineStr">
        <is>
          <t>08_デメリット</t>
        </is>
      </c>
      <c r="B28" s="11" t="inlineStr">
        <is>
          <t>席、前段のタイムアウト、先行ロック、見えにくさ</t>
        </is>
      </c>
      <c r="C28" s="11" t="inlineStr">
        <is>
          <t>変更を止める材料が欲しい人</t>
        </is>
      </c>
      <c r="D28" s="11" t="inlineStr">
        <is>
          <t>呼び出し側が60秒なら、120秒は先に死ぬ</t>
        </is>
      </c>
    </row>
    <row r="29" ht="32" customHeight="1">
      <c r="A29" s="9" t="inlineStr">
        <is>
          <t>09_Aurora</t>
        </is>
      </c>
      <c r="B29" s="10" t="inlineStr">
        <is>
          <t>8.4.7、スケール、リーダー、パラメータグループ</t>
        </is>
      </c>
      <c r="C29" s="10" t="inlineStr">
        <is>
          <t>Auroraの運用者</t>
        </is>
      </c>
      <c r="D29" s="10" t="inlineStr">
        <is>
          <t>8.4.7は持つ人の寿命を切れない</t>
        </is>
      </c>
    </row>
    <row r="30" ht="32" customHeight="1">
      <c r="A30" s="9" t="inlineStr">
        <is>
          <t>10_エラーの戻り方</t>
        </is>
      </c>
      <c r="B30" s="11" t="inlineStr">
        <is>
          <t>1205は文、1213は取引全体</t>
        </is>
      </c>
      <c r="C30" s="11" t="inlineStr">
        <is>
          <t>アプリを書く人</t>
        </is>
      </c>
      <c r="D30" s="11" t="inlineStr">
        <is>
          <t>1205のあとCOMMITすると、途中まで確定し得る</t>
        </is>
      </c>
    </row>
    <row r="31" ht="32" customHeight="1">
      <c r="A31" s="9" t="inlineStr">
        <is>
          <t>11_ほかの制限時間</t>
        </is>
      </c>
      <c r="B31" s="10" t="inlineStr">
        <is>
          <t>MDL、ALB、API Gateway、Lambda、Proxy</t>
        </is>
      </c>
      <c r="C31" s="10" t="inlineStr">
        <is>
          <t>経路を設計する人</t>
        </is>
      </c>
      <c r="D31" s="10" t="inlineStr">
        <is>
          <t>行ロックのベルと、目録のベルは別</t>
        </is>
      </c>
    </row>
    <row r="32" ht="32" customHeight="1">
      <c r="A32" s="9" t="inlineStr">
        <is>
          <t>12_判断</t>
        </is>
      </c>
      <c r="B32" s="11" t="inlineStr">
        <is>
          <t>上げてよい条件と、害になる条件</t>
        </is>
      </c>
      <c r="C32" s="11" t="inlineStr">
        <is>
          <t>決める人</t>
        </is>
      </c>
      <c r="D32" s="11" t="inlineStr">
        <is>
          <t>グローバルより、バッチのセッションだけ</t>
        </is>
      </c>
    </row>
    <row r="33" ht="32" customHeight="1">
      <c r="A33" s="9" t="inlineStr">
        <is>
          <t>13_監視</t>
        </is>
      </c>
      <c r="B33" s="10" t="inlineStr">
        <is>
          <t>見るカウンタと、誰が止めているかの読み取り</t>
        </is>
      </c>
      <c r="C33" s="10" t="inlineStr">
        <is>
          <t>当番の人</t>
        </is>
      </c>
      <c r="D33" s="10" t="inlineStr">
        <is>
          <t>1205の件数だけでは改善と読めない</t>
        </is>
      </c>
    </row>
    <row r="34" ht="32" customHeight="1">
      <c r="A34" s="9" t="inlineStr">
        <is>
          <t>14_出典と限界</t>
        </is>
      </c>
      <c r="B34" s="11" t="inlineStr">
        <is>
          <t>一次資料と、まだ確かでないこと</t>
        </is>
      </c>
      <c r="C34" s="11" t="inlineStr">
        <is>
          <t>根拠を確認する人</t>
        </is>
      </c>
      <c r="D34" s="11" t="inlineStr">
        <is>
          <t>Auroraが既定50と明言したページは無い</t>
        </is>
      </c>
    </row>
    <row r="35"/>
    <row r="36" ht="24" customHeight="1">
      <c r="A36" s="12" t="inlineStr">
        <is>
          <t>同じ内容の文章版は innodb_lock_wait_timeout_50秒から120秒.md。出典を厚くした長文は reports フォルダにある。</t>
        </is>
      </c>
    </row>
  </sheetData>
  <autoFilter ref="A20:D34"/>
  <mergeCells count="8">
    <mergeCell ref="A1:D1"/>
    <mergeCell ref="B11:D12"/>
    <mergeCell ref="B5:D6"/>
    <mergeCell ref="B14:D15"/>
    <mergeCell ref="A2:D2"/>
    <mergeCell ref="B17:D18"/>
    <mergeCell ref="A36:D36"/>
    <mergeCell ref="B8:D9"/>
  </mergeCells>
  <printOptions horizontalCentered="1"/>
  <pageMargins left="0.45" right="0.45" top="0.72" bottom="0.55" header="0.26" footer="0.26"/>
  <pageSetup orientation="landscape" paperSize="9" fitToHeight="1" fitToWidth="1" pageOrder="downThenOver"/>
  <headerFooter>
    <oddHeader>&amp;L&amp;"Meiryo UI"&amp;9 &amp;K595959Aurora MySQL 8.4.7   innodb_lock_wait_timeout&amp;R&amp;"Meiryo UI"&amp;9 &amp;K595959読み方</oddHeader>
    <oddFooter>&amp;L&amp;"Meiryo UI"&amp;8 &amp;K595959調査日 2026-10-08    測定ではなく機構の説明    Meiryo UI / モノトーン&amp;R&amp;"Meiryo UI"&amp;8 &amp;K595959&amp;P / &amp;N</oddFooter>
    <evenHeader/>
    <evenFooter/>
    <firstHeader/>
    <firstFooter/>
  </headerFooter>
</worksheet>
</file>

<file path=xl/worksheets/sheet2.xml><?xml version="1.0" encoding="utf-8"?>
<worksheet xmlns="http://schemas.openxmlformats.org/spreadsheetml/2006/main">
  <sheetPr>
    <tabColor rgb="006E6E6E"/>
    <outlinePr summaryBelow="1" summaryRight="1"/>
    <pageSetUpPr fitToPage="1"/>
  </sheetPr>
  <dimension ref="A1:D19"/>
  <sheetViews>
    <sheetView showGridLines="0" showRowColHeaders="1" view="normal" zoomScale="110" workbookViewId="0">
      <pane ySplit="4" topLeftCell="A5" activePane="bottomLeft" state="frozen"/>
      <selection pane="bottomLeft" activeCell="A1" sqref="A1"/>
    </sheetView>
  </sheetViews>
  <sheetFormatPr baseColWidth="8" defaultRowHeight="18"/>
  <cols>
    <col width="22" customWidth="1" min="1" max="1"/>
    <col width="36" customWidth="1" min="2" max="2"/>
    <col width="62" customWidth="1" min="3" max="3"/>
    <col width="48" customWidth="1" min="4" max="4"/>
  </cols>
  <sheetData>
    <row r="1" ht="42" customHeight="1">
      <c r="A1" s="1" t="inlineStr">
        <is>
          <t>図書館の鉛筆。ベルは、持つ人を呼びに行かない</t>
        </is>
      </c>
      <c r="B1" s="2" t="n"/>
      <c r="C1" s="2" t="n"/>
      <c r="D1" s="2" t="n"/>
    </row>
    <row r="2" ht="46" customHeight="1">
      <c r="A2" s="3" t="inlineStr">
        <is>
          <t>あおいが鉛筆を握ったまま席を外しても、係のベルを50秒から120秒に遅らせただけでは、あおいは早く戻らない。</t>
        </is>
      </c>
      <c r="B2" s="4" t="n"/>
      <c r="C2" s="4" t="n"/>
      <c r="D2" s="4" t="n"/>
    </row>
    <row r="3" ht="10" customHeight="1">
      <c r="A3" s="5" t="n"/>
    </row>
    <row r="4" ht="28" customHeight="1">
      <c r="A4" s="8" t="inlineStr">
        <is>
          <t>たとえ</t>
        </is>
      </c>
      <c r="B4" s="8" t="inlineStr">
        <is>
          <t>図書館での動き</t>
        </is>
      </c>
      <c r="C4" s="8" t="inlineStr">
        <is>
          <t>データベースでの同じこと</t>
        </is>
      </c>
      <c r="D4" s="8" t="inlineStr">
        <is>
          <t>ここで覚えること</t>
        </is>
      </c>
    </row>
    <row r="5" ht="56" customHeight="1">
      <c r="A5" s="9" t="inlineStr">
        <is>
          <t>昔の貸し出し</t>
        </is>
      </c>
      <c r="B5" s="10" t="inlineStr">
        <is>
          <t>1行を直すときも、本を1冊まるごとカウンターの奥へしまう。ほかのページの人も行列に立つ。</t>
        </is>
      </c>
      <c r="C5" s="10" t="inlineStr">
        <is>
          <t>MyISAM に近い表ロック。更新できるセッションは、一度に一つ。</t>
        </is>
      </c>
      <c r="D5" s="10" t="inlineStr">
        <is>
          <t>粗すぎて、関係ない行まで止まった。</t>
        </is>
      </c>
    </row>
    <row r="6" ht="56" customHeight="1">
      <c r="A6" s="9" t="inlineStr">
        <is>
          <t>今の鉛筆</t>
        </is>
      </c>
      <c r="B6" s="11" t="inlineStr">
        <is>
          <t>直している行だけを、一本の鉛筆で押さえる。隣の行は別の人が同時に直せる。</t>
        </is>
      </c>
      <c r="C6" s="11" t="inlineStr">
        <is>
          <t>InnoDB の行ロック。別の行なら同時に更新できる。</t>
        </is>
      </c>
      <c r="D6" s="11" t="inlineStr">
        <is>
          <t>細かくした代わりに、鉛筆を持った人が戻らない問題が生まれた。</t>
        </is>
      </c>
    </row>
    <row r="7" ht="40" customHeight="1">
      <c r="A7" s="9" t="inlineStr">
        <is>
          <t>あおい</t>
        </is>
      </c>
      <c r="B7" s="10" t="inlineStr">
        <is>
          <t>在庫の1行を直すため、鉛筆を握ったまま席を外す。</t>
        </is>
      </c>
      <c r="C7" s="10" t="inlineStr">
        <is>
          <t>ロックを持ったまま COMMIT しないトランザクション。処理中のことも、何もしていないこともある。</t>
        </is>
      </c>
      <c r="D7" s="10" t="inlineStr">
        <is>
          <t>ベルはあおいを速くしない。</t>
        </is>
      </c>
    </row>
    <row r="8" ht="40" customHeight="1">
      <c r="A8" s="9" t="inlineStr">
        <is>
          <t>べん</t>
        </is>
      </c>
      <c r="B8" s="11" t="inlineStr">
        <is>
          <t>同じ行を直したい。鉛筆が戻るまで列に立つ。</t>
        </is>
      </c>
      <c r="C8" s="11" t="inlineStr">
        <is>
          <t>相反する行ロックを取れずに待っている SQL 文。</t>
        </is>
      </c>
      <c r="D8" s="11" t="inlineStr">
        <is>
          <t>ベルが決めるのは、べんがいつ諦めるかだけ。</t>
        </is>
      </c>
    </row>
    <row r="9" ht="40" customHeight="1">
      <c r="A9" s="9" t="inlineStr">
        <is>
          <t>係のベル</t>
        </is>
      </c>
      <c r="B9" s="10" t="inlineStr">
        <is>
          <t>列の人が何秒待ったら諦めるか。持つ人を呼びには行かない。</t>
        </is>
      </c>
      <c r="C9" s="10" t="inlineStr">
        <is>
          <t>innodb_lock_wait_timeout。既定50秒。ここでは120秒と比べる。</t>
        </is>
      </c>
      <c r="D9" s="10" t="inlineStr">
        <is>
          <t>50でも120でも、あおいの歩幅は同じ。</t>
        </is>
      </c>
    </row>
    <row r="10" ht="56" customHeight="1">
      <c r="A10" s="9" t="inlineStr">
        <is>
          <t>もう一人の係</t>
        </is>
      </c>
      <c r="B10" s="11" t="inlineStr">
        <is>
          <t>二人が「あなたの鉛筆と、わたしの消しゴム」を取り合う輪だけを、すぐ止める。席を外しただけなら鳴らない。</t>
        </is>
      </c>
      <c r="C10" s="11" t="inlineStr">
        <is>
          <t>デッドロック検出。既定オン。エラー1213。取引全体が戻る。</t>
        </is>
      </c>
      <c r="D10" s="11" t="inlineStr">
        <is>
          <t>輪ではない一列の待ちには、この係は鳴らない。だからベルが要る。</t>
        </is>
      </c>
    </row>
    <row r="11" ht="40" customHeight="1">
      <c r="A11" s="9" t="inlineStr">
        <is>
          <t>目録カウンター</t>
        </is>
      </c>
      <c r="B11" s="10" t="inlineStr">
        <is>
          <t>本の名前や棚を変える列。こちらのベルは最長で1年。</t>
        </is>
      </c>
      <c r="C11" s="10" t="inlineStr">
        <is>
          <t>メタデータロック。lock_wait_timeout。既定31536000秒。</t>
        </is>
      </c>
      <c r="D11" s="10" t="inlineStr">
        <is>
          <t>120秒にしても、ALTER の列は動かない。</t>
        </is>
      </c>
    </row>
    <row r="12" ht="40" customHeight="1">
      <c r="A12" s="9" t="inlineStr">
        <is>
          <t>本を読んでいる人</t>
        </is>
      </c>
      <c r="B12" s="11" t="inlineStr">
        <is>
          <t>誰かが鉛筆を持っていても、読むだけなら列に並ばない。</t>
        </is>
      </c>
      <c r="C12" s="11" t="inlineStr">
        <is>
          <t>普通の SELECT。既定の REPEATABLE READ ではロックを取らず、undo のコピーを読む。</t>
        </is>
      </c>
      <c r="D12" s="11" t="inlineStr">
        <is>
          <t>読み取りをリーダーへ逃がしても、更新の列は短くならない。</t>
        </is>
      </c>
    </row>
    <row r="13" ht="40" customHeight="1">
      <c r="A13" s="13" t="inlineStr">
        <is>
          <t>終わり方1</t>
        </is>
      </c>
      <c r="B13" s="13" t="inlineStr">
        <is>
          <t>あおいが30秒で戻る。</t>
        </is>
      </c>
      <c r="C13" s="13" t="inlineStr">
        <is>
          <t>50でも120でも、べんは30秒で書き始められる。</t>
        </is>
      </c>
      <c r="D13" s="13" t="inlineStr">
        <is>
          <t>50秒以内に返る仕事を、120にしても良くならない。</t>
        </is>
      </c>
    </row>
    <row r="14" ht="24" customHeight="1">
      <c r="A14" s="13" t="inlineStr">
        <is>
          <t>終わり方2</t>
        </is>
      </c>
      <c r="B14" s="13" t="inlineStr">
        <is>
          <t>あおいが80秒で戻る。</t>
        </is>
      </c>
      <c r="C14" s="13" t="inlineStr">
        <is>
          <t>50秒のベルは約50秒で失敗。120秒のベルは80秒目に成功し得る。</t>
        </is>
      </c>
      <c r="D14" s="13" t="inlineStr">
        <is>
          <t>意味があるのは、この帯だけ。</t>
        </is>
      </c>
    </row>
    <row r="15" ht="24" customHeight="1">
      <c r="A15" s="13" t="inlineStr">
        <is>
          <t>終わり方3</t>
        </is>
      </c>
      <c r="B15" s="13" t="inlineStr">
        <is>
          <t>あおいが10分戻らない。</t>
        </is>
      </c>
      <c r="C15" s="13" t="inlineStr">
        <is>
          <t>両方失敗。120の方が席を最大70秒長く塞ぐ。</t>
        </is>
      </c>
      <c r="D15" s="13" t="inlineStr">
        <is>
          <t>失敗を遅くする変更になる。</t>
        </is>
      </c>
    </row>
    <row r="16" ht="72" customHeight="1">
      <c r="A16" s="9" t="inlineStr">
        <is>
          <t>ベルが鳴ったあと</t>
        </is>
      </c>
      <c r="B16" s="11" t="inlineStr">
        <is>
          <t>失敗するのは、べんが今書こうとしていた一文。あおいの本は開いたまま。べんが前に直した行の鉛筆も、握ったままになり得る。</t>
        </is>
      </c>
      <c r="C16" s="11" t="inlineStr">
        <is>
          <t>既定では ERROR 1205。戻るのは待っていた文だけ。取引は開いたまま。先行ロックは残り得る。</t>
        </is>
      </c>
      <c r="D16" s="11" t="inlineStr">
        <is>
          <t>「全部なかったこと」にはならない。</t>
        </is>
      </c>
    </row>
    <row r="17" ht="56" customHeight="1">
      <c r="A17" s="14" t="inlineStr">
        <is>
          <t>このたとえの限界</t>
        </is>
      </c>
      <c r="B17" s="14" t="inlineStr">
        <is>
          <t>図書館の席は、接続1本のイメージ。実際は隙間のロックで、見えない行の挿入も止まる。</t>
        </is>
      </c>
      <c r="C17" s="14" t="inlineStr">
        <is>
          <t>ネクストキーロックとギャップ。REPEATABLE READ の範囲更新で起きやすい。</t>
        </is>
      </c>
      <c r="D17" s="14" t="inlineStr">
        <is>
          <t>止めるのは、見えている1行とは限らない。</t>
        </is>
      </c>
    </row>
    <row r="18"/>
    <row r="19" ht="36" customHeight="1">
      <c r="A19" s="15" t="inlineStr">
        <is>
          <t>調査日 2026-10-08。50秒と120秒を同じ負荷で比べた公開の測定は無い。測定と書いていない数字は、仕組みから出した天井である。</t>
        </is>
      </c>
    </row>
  </sheetData>
  <autoFilter ref="A4:D17"/>
  <mergeCells count="3">
    <mergeCell ref="A1:D1"/>
    <mergeCell ref="A19:D19"/>
    <mergeCell ref="A2:D2"/>
  </mergeCells>
  <printOptions horizontalCentered="1"/>
  <pageMargins left="0.45" right="0.45" top="0.72" bottom="0.55" header="0.26" footer="0.26"/>
  <pageSetup orientation="landscape" paperSize="9" fitToHeight="0" fitToWidth="1" pageOrder="downThenOver"/>
  <headerFooter>
    <oddHeader>&amp;L&amp;"Meiryo UI"&amp;9 &amp;K595959Aurora MySQL 8.4.7   innodb_lock_wait_timeout&amp;R&amp;"Meiryo UI"&amp;9 &amp;K595959小学生のたとえ</oddHeader>
    <oddFooter>&amp;L&amp;"Meiryo UI"&amp;8 &amp;K595959調査日 2026-10-08    測定ではなく機構の説明    Meiryo UI / モノトーン&amp;R&amp;"Meiryo UI"&amp;8 &amp;K595959&amp;P / &amp;N</oddFooter>
    <evenHeader/>
    <evenFooter/>
    <firstHeader/>
    <firstFooter/>
  </headerFooter>
</worksheet>
</file>

<file path=xl/worksheets/sheet3.xml><?xml version="1.0" encoding="utf-8"?>
<worksheet xmlns="http://schemas.openxmlformats.org/spreadsheetml/2006/main">
  <sheetPr>
    <tabColor rgb="005C5C5C"/>
    <outlinePr summaryBelow="1" summaryRight="1"/>
    <pageSetUpPr fitToPage="1"/>
  </sheetPr>
  <dimension ref="A1:D19"/>
  <sheetViews>
    <sheetView showGridLines="0" showRowColHeaders="1" view="normal" zoomScale="110" workbookViewId="0">
      <pane ySplit="4" topLeftCell="A5" activePane="bottomLeft" state="frozen"/>
      <selection pane="bottomLeft" activeCell="A1" sqref="A1"/>
    </sheetView>
  </sheetViews>
  <sheetFormatPr baseColWidth="8" defaultRowHeight="18"/>
  <cols>
    <col width="38" customWidth="1" min="1" max="1"/>
    <col width="36" customWidth="1" min="2" max="2"/>
    <col width="36" customWidth="1" min="3" max="3"/>
    <col width="42" customWidth="1" min="4" max="4"/>
  </cols>
  <sheetData>
    <row r="1" ht="42" customHeight="1">
      <c r="A1" s="1" t="inlineStr">
        <is>
          <t>変わるのは、諦める天井だけである</t>
        </is>
      </c>
      <c r="B1" s="2" t="n"/>
      <c r="C1" s="2" t="n"/>
      <c r="D1" s="2" t="n"/>
    </row>
    <row r="2" ht="46" customHeight="1">
      <c r="A2" s="3" t="inlineStr">
        <is>
          <t>経験する待ちは「相手が放す時刻」と「ベルの時刻」の早い方。全クエリが120秒になるわけではない。120割る50は2.4で、これは天井の算術である。</t>
        </is>
      </c>
      <c r="B2" s="4" t="n"/>
      <c r="C2" s="4" t="n"/>
      <c r="D2" s="4" t="n"/>
    </row>
    <row r="3" ht="10" customHeight="1">
      <c r="A3" s="5" t="n"/>
    </row>
    <row r="4" ht="28" customHeight="1">
      <c r="A4" s="8" t="inlineStr">
        <is>
          <t>見ているもの</t>
        </is>
      </c>
      <c r="B4" s="8" t="inlineStr">
        <is>
          <t>50秒のとき</t>
        </is>
      </c>
      <c r="C4" s="8" t="inlineStr">
        <is>
          <t>120秒のとき</t>
        </is>
      </c>
      <c r="D4" s="8" t="inlineStr">
        <is>
          <t>読み方</t>
        </is>
      </c>
    </row>
    <row r="5" ht="24" customHeight="1">
      <c r="A5" s="9" t="inlineStr">
        <is>
          <t>ロックを持っている処理の速さ</t>
        </is>
      </c>
      <c r="B5" s="10" t="inlineStr">
        <is>
          <t>変わらない</t>
        </is>
      </c>
      <c r="C5" s="10" t="inlineStr">
        <is>
          <t>変わらない</t>
        </is>
      </c>
      <c r="D5" s="10" t="inlineStr">
        <is>
          <t>天井は、持つ人を速くしない</t>
        </is>
      </c>
    </row>
    <row r="6" ht="24" customHeight="1">
      <c r="A6" s="9" t="inlineStr">
        <is>
          <t>相手が50秒以内に放す待ち</t>
        </is>
      </c>
      <c r="B6" s="11" t="inlineStr">
        <is>
          <t>相手の時刻で成功</t>
        </is>
      </c>
      <c r="C6" s="11" t="inlineStr">
        <is>
          <t>相手の時刻で成功</t>
        </is>
      </c>
      <c r="D6" s="11" t="inlineStr">
        <is>
          <t>差は出ない</t>
        </is>
      </c>
    </row>
    <row r="7" ht="40" customHeight="1">
      <c r="A7" s="13" t="inlineStr">
        <is>
          <t>相手が50秒超、120秒以内に放す</t>
        </is>
      </c>
      <c r="B7" s="13" t="inlineStr">
        <is>
          <t>約50秒で ERROR 1205</t>
        </is>
      </c>
      <c r="C7" s="13" t="inlineStr">
        <is>
          <t>相手の時刻で成功し得る</t>
        </is>
      </c>
      <c r="D7" s="13" t="inlineStr">
        <is>
          <t>120秒にする意味が実体を持つ、ただ一つの帯</t>
        </is>
      </c>
    </row>
    <row r="8" ht="40" customHeight="1">
      <c r="A8" s="13" t="inlineStr">
        <is>
          <t>相手が120秒を超えて持つ、または放置</t>
        </is>
      </c>
      <c r="B8" s="13" t="inlineStr">
        <is>
          <t>約50秒で1205。接続はそこで返せる</t>
        </is>
      </c>
      <c r="C8" s="13" t="inlineStr">
        <is>
          <t>約120秒で1205。接続を最大70秒長く塞ぐ</t>
        </is>
      </c>
      <c r="D8" s="13" t="inlineStr">
        <is>
          <t>両方失敗。被害の時間が伸びる</t>
        </is>
      </c>
    </row>
    <row r="9" ht="40" customHeight="1">
      <c r="A9" s="9" t="inlineStr">
        <is>
          <t>デッドロック検出がオンの輪</t>
        </is>
      </c>
      <c r="B9" s="10" t="inlineStr">
        <is>
          <t>すぐ1213。取引全体が戻る</t>
        </is>
      </c>
      <c r="C9" s="10" t="inlineStr">
        <is>
          <t>同じ。このベルは使わない</t>
        </is>
      </c>
      <c r="D9" s="10" t="inlineStr">
        <is>
          <t>検出を切っているときだけ、輪もベルまで立つ</t>
        </is>
      </c>
    </row>
    <row r="10" ht="40" customHeight="1">
      <c r="A10" s="9" t="inlineStr">
        <is>
          <t>ALTER や LOCK TABLES のメタデータロック</t>
        </is>
      </c>
      <c r="B10" s="11" t="inlineStr">
        <is>
          <t>効かない</t>
        </is>
      </c>
      <c r="C10" s="11" t="inlineStr">
        <is>
          <t>効かない</t>
        </is>
      </c>
      <c r="D10" s="11" t="inlineStr">
        <is>
          <t>管轄は lock_wait_timeout。既定は1年</t>
        </is>
      </c>
    </row>
    <row r="11" ht="24" customHeight="1">
      <c r="A11" s="9" t="inlineStr">
        <is>
          <t>普通の SELECT</t>
        </is>
      </c>
      <c r="B11" s="10" t="inlineStr">
        <is>
          <t>列に並ばない</t>
        </is>
      </c>
      <c r="C11" s="10" t="inlineStr">
        <is>
          <t>列に並ばない</t>
        </is>
      </c>
      <c r="D11" s="10" t="inlineStr">
        <is>
          <t>一貫性読み取りはロックを待たない</t>
        </is>
      </c>
    </row>
    <row r="12" ht="40" customHeight="1">
      <c r="A12" s="9" t="inlineStr">
        <is>
          <t>待ち側が先に取ったロック</t>
        </is>
      </c>
      <c r="B12" s="11" t="inlineStr">
        <is>
          <t>失敗までのあいだ、第三者を止め得る</t>
        </is>
      </c>
      <c r="C12" s="11" t="inlineStr">
        <is>
          <t>その時間が最大70秒延び得る</t>
        </is>
      </c>
      <c r="D12" s="11" t="inlineStr">
        <is>
          <t>べんの席だけでなく、べんが握った別の鉛筆も残る</t>
        </is>
      </c>
    </row>
    <row r="13" ht="24" customHeight="1">
      <c r="A13" s="9" t="inlineStr">
        <is>
          <t>ネクストキーが閉じた隙間</t>
        </is>
      </c>
      <c r="B13" s="10" t="inlineStr">
        <is>
          <t>待ちのあいだ挿入を拒む</t>
        </is>
      </c>
      <c r="C13" s="10" t="inlineStr">
        <is>
          <t>余分な時間だけ、挿入を拒み続ける</t>
        </is>
      </c>
      <c r="D13" s="10" t="inlineStr">
        <is>
          <t>止まるのは見えている1行とは限らない</t>
        </is>
      </c>
    </row>
    <row r="14" ht="40" customHeight="1">
      <c r="A14" s="9" t="inlineStr">
        <is>
          <t>アイドルなブロッカーを切ること</t>
        </is>
      </c>
      <c r="B14" s="11" t="inlineStr">
        <is>
          <t>このパラメータではできない</t>
        </is>
      </c>
      <c r="C14" s="11" t="inlineStr">
        <is>
          <t>このパラメータではできない</t>
        </is>
      </c>
      <c r="D14" s="11" t="inlineStr">
        <is>
          <t>8.4.7 に aurora_transaction_timeout は無い</t>
        </is>
      </c>
    </row>
    <row r="15" ht="40" customHeight="1">
      <c r="A15" s="9" t="inlineStr">
        <is>
          <t>判定の時刻</t>
        </is>
      </c>
      <c r="B15" s="10" t="inlineStr">
        <is>
          <t>設定値のあと、およそ1秒の幅</t>
        </is>
      </c>
      <c r="C15" s="10" t="inlineStr">
        <is>
          <t>同じ</t>
        </is>
      </c>
      <c r="D15" s="10" t="inlineStr">
        <is>
          <t>ちょうど50.000秒や120.000秒で必ず切れるとは言えない。ソースの読み</t>
        </is>
      </c>
    </row>
    <row r="16" ht="24" customHeight="1">
      <c r="A16" s="9" t="inlineStr">
        <is>
          <t>一つの文が何度もロックを待つ</t>
        </is>
      </c>
      <c r="B16" s="11" t="inlineStr">
        <is>
          <t>要求ごとにタイマーをやり直す</t>
        </is>
      </c>
      <c r="C16" s="11" t="inlineStr">
        <is>
          <t>同じ</t>
        </is>
      </c>
      <c r="D16" s="11" t="inlineStr">
        <is>
          <t>止まった時間の合計は、設定秒数を超え得る</t>
        </is>
      </c>
    </row>
    <row r="17" ht="40" customHeight="1">
      <c r="A17" s="14" t="inlineStr">
        <is>
          <t>算術</t>
        </is>
      </c>
      <c r="B17" s="14" t="inlineStr">
        <is>
          <t>天井の差は 120-50 = 70秒</t>
        </is>
      </c>
      <c r="C17" s="14" t="inlineStr">
        <is>
          <t>天井の比は 120/50 = 2.4</t>
        </is>
      </c>
      <c r="D17" s="14" t="inlineStr">
        <is>
          <t>遅延がいつも2.4倍になる、という意味ではない</t>
        </is>
      </c>
    </row>
    <row r="18"/>
    <row r="19" ht="36" customHeight="1">
      <c r="A19" s="15" t="inlineStr">
        <is>
          <t>調査日 2026-10-08。50秒と120秒を同じ負荷で比べた公開の測定は無い。測定と書いていない数字は、仕組みから出した天井である。</t>
        </is>
      </c>
    </row>
  </sheetData>
  <autoFilter ref="A4:D17"/>
  <mergeCells count="3">
    <mergeCell ref="A1:D1"/>
    <mergeCell ref="A19:D19"/>
    <mergeCell ref="A2:D2"/>
  </mergeCells>
  <printOptions horizontalCentered="1"/>
  <pageMargins left="0.45" right="0.45" top="0.72" bottom="0.55" header="0.26" footer="0.26"/>
  <pageSetup orientation="landscape" paperSize="9" fitToHeight="0" fitToWidth="1" pageOrder="downThenOver"/>
  <headerFooter>
    <oddHeader>&amp;L&amp;"Meiryo UI"&amp;9 &amp;K595959Aurora MySQL 8.4.7   innodb_lock_wait_timeout&amp;R&amp;"Meiryo UI"&amp;9 &amp;K59595950秒と120秒</oddHeader>
    <oddFooter>&amp;L&amp;"Meiryo UI"&amp;8 &amp;K595959調査日 2026-10-08    測定ではなく機構の説明    Meiryo UI / モノトーン&amp;R&amp;"Meiryo UI"&amp;8 &amp;K595959&amp;P / &amp;N</oddFooter>
    <evenHeader/>
    <evenFooter/>
    <firstHeader/>
    <firstFooter/>
  </headerFooter>
</worksheet>
</file>

<file path=xl/worksheets/sheet4.xml><?xml version="1.0" encoding="utf-8"?>
<worksheet xmlns="http://schemas.openxmlformats.org/spreadsheetml/2006/main">
  <sheetPr>
    <tabColor rgb="00555555"/>
    <outlinePr summaryBelow="1" summaryRight="1"/>
    <pageSetUpPr fitToPage="1"/>
  </sheetPr>
  <dimension ref="A1:D19"/>
  <sheetViews>
    <sheetView showGridLines="0" showRowColHeaders="1" view="normal" zoomScale="110" workbookViewId="0">
      <pane ySplit="4" topLeftCell="A5" activePane="bottomLeft" state="frozen"/>
      <selection pane="bottomLeft" activeCell="A1" sqref="A1"/>
    </sheetView>
  </sheetViews>
  <sheetFormatPr baseColWidth="8" defaultRowHeight="18"/>
  <cols>
    <col width="28" customWidth="1" min="1" max="1"/>
    <col width="34" customWidth="1" min="2" max="2"/>
    <col width="55" customWidth="1" min="3" max="3"/>
    <col width="48" customWidth="1" min="4" max="4"/>
  </cols>
  <sheetData>
    <row r="1" ht="42" customHeight="1">
      <c r="A1" s="1" t="inlineStr">
        <is>
          <t>ベルが数えるのは、ロックを待って止まっている時間だけ</t>
        </is>
      </c>
      <c r="B1" s="2" t="n"/>
      <c r="C1" s="2" t="n"/>
      <c r="D1" s="2" t="n"/>
    </row>
    <row r="2" ht="46" customHeight="1">
      <c r="A2" s="3" t="inlineStr">
        <is>
          <t>文が始まってから COMMIT するまでの経過時間ではない。MySQL 8.4 の既定は50、最小1、最大1073741824秒。Global かつ Session。動的。SET_VAR ヒントは効かない。</t>
        </is>
      </c>
      <c r="B2" s="4" t="n"/>
      <c r="C2" s="4" t="n"/>
      <c r="D2" s="4" t="n"/>
    </row>
    <row r="3" ht="10" customHeight="1">
      <c r="A3" s="5" t="n"/>
    </row>
    <row r="4" ht="28" customHeight="1">
      <c r="A4" s="8" t="inlineStr">
        <is>
          <t>仕組み</t>
        </is>
      </c>
      <c r="B4" s="8" t="inlineStr">
        <is>
          <t>公式に言えること</t>
        </is>
      </c>
      <c r="C4" s="8" t="inlineStr">
        <is>
          <t>ソースや運用で足すこと</t>
        </is>
      </c>
      <c r="D4" s="8" t="inlineStr">
        <is>
          <t>外しやすい点</t>
        </is>
      </c>
    </row>
    <row r="5" ht="40" customHeight="1">
      <c r="A5" s="9" t="inlineStr">
        <is>
          <t>定義</t>
        </is>
      </c>
      <c r="B5" s="10" t="inlineStr">
        <is>
          <t>InnoDB トランザクションが行ロックを待つ秒数。既定50。</t>
        </is>
      </c>
      <c r="C5" s="10" t="inlineStr">
        <is>
          <t>8.0 も50。8.4 の既定変更一覧に、この変数は無い。</t>
        </is>
      </c>
      <c r="D5" s="10" t="inlineStr">
        <is>
          <t>Aurora のパラメータ表は既定値欄を持たない。50はコミュニティの値。</t>
        </is>
      </c>
    </row>
    <row r="6" ht="40" customHeight="1">
      <c r="A6" s="9" t="inlineStr">
        <is>
          <t>範囲</t>
        </is>
      </c>
      <c r="B6" s="11" t="inlineStr">
        <is>
          <t>最小1秒。最大1073741824秒。単位は秒。</t>
        </is>
      </c>
      <c r="C6" s="11" t="inlineStr">
        <is>
          <t>最大は2^30秒で、約34.0年。これは計算。</t>
        </is>
      </c>
      <c r="D6" s="11" t="inlineStr">
        <is>
          <t>長くできることと、長くすべきことは別。</t>
        </is>
      </c>
    </row>
    <row r="7" ht="56" customHeight="1">
      <c r="A7" s="9" t="inlineStr">
        <is>
          <t>変え方</t>
        </is>
      </c>
      <c r="B7" s="10" t="inlineStr">
        <is>
          <t>SET GLOBAL は以後の新規接続の初期値。SET SESSION はその接続だけ。</t>
        </is>
      </c>
      <c r="C7" s="10" t="inlineStr">
        <is>
          <t>既存接続のセッション値は、GLOBAL では書き換わらない。</t>
        </is>
      </c>
      <c r="D7" s="10" t="inlineStr">
        <is>
          <t>上げたつもりが、今つながっている OLTP にはまだ50、があり得る。</t>
        </is>
      </c>
    </row>
    <row r="8" ht="40" customHeight="1">
      <c r="A8" s="9" t="inlineStr">
        <is>
          <t>ヒント</t>
        </is>
      </c>
      <c r="B8" s="11" t="inlineStr">
        <is>
          <t>SET_VAR は効かない。</t>
        </is>
      </c>
      <c r="C8" s="11" t="inlineStr">
        <is>
          <t>lock_wait_timeout（メタデータ）の方は SET_VAR 可。</t>
        </is>
      </c>
      <c r="D8" s="11" t="inlineStr">
        <is>
          <t>ヒントで片方だけ変えたつもりが、もう片方は変わらない。</t>
        </is>
      </c>
    </row>
    <row r="9" ht="40" customHeight="1">
      <c r="A9" s="9" t="inlineStr">
        <is>
          <t>タイマーの開始</t>
        </is>
      </c>
      <c r="B9" s="10" t="inlineStr">
        <is>
          <t>行ロックを待ってスレッドが止まったとき。</t>
        </is>
      </c>
      <c r="C9" s="10" t="inlineStr">
        <is>
          <t>lock0wait.cc は、待ちに入るたびにその時点の秒数をスロットへコピーする。</t>
        </is>
      </c>
      <c r="D9" s="10" t="inlineStr">
        <is>
          <t>マニュアルは途中の SET SESSION に触れていない。進行中の待ちはコピー済み、と読める。</t>
        </is>
      </c>
    </row>
    <row r="10" ht="40" customHeight="1">
      <c r="A10" s="9" t="inlineStr">
        <is>
          <t>切れ方</t>
        </is>
      </c>
      <c r="B10" s="11" t="inlineStr">
        <is>
          <t>設定秒数を超えてまだ待っていれば、1205。</t>
        </is>
      </c>
      <c r="C10" s="11" t="inlineStr">
        <is>
          <t>比較は「より大きい」。判定は約1秒に1回。実装コメントは T か T+0.99 かは気にしない、と書く。</t>
        </is>
      </c>
      <c r="D10" s="11" t="inlineStr">
        <is>
          <t>この1秒の幅はマニュアルではなくソース。</t>
        </is>
      </c>
    </row>
    <row r="11" ht="40" customHeight="1">
      <c r="A11" s="9" t="inlineStr">
        <is>
          <t>複数回の待ち</t>
        </is>
      </c>
      <c r="B11" s="10" t="inlineStr">
        <is>
          <t>次のロック要求で再び止まれば、タイマーはやり直す。</t>
        </is>
      </c>
      <c r="C11" s="10" t="inlineStr">
        <is>
          <t>一つの文のブロック合計は、設定秒数を超え得る。</t>
        </is>
      </c>
      <c r="D11" s="10" t="inlineStr">
        <is>
          <t>MDL のマニュアルは試行ごとのタイマーを明示する。InnoDB 側の変数説明にはその文が無い。</t>
        </is>
      </c>
    </row>
    <row r="12" ht="40" customHeight="1">
      <c r="A12" s="9" t="inlineStr">
        <is>
          <t>待たない読み取り</t>
        </is>
      </c>
      <c r="B12" s="11" t="inlineStr">
        <is>
          <t>通常の SELECT は一貫性読み取り。ロックを取らない。</t>
        </is>
      </c>
      <c r="C12" s="11" t="inlineStr">
        <is>
          <t>SERIALIZABLE かつ autocommit オフの平文 SELECT は FOR SHARE になり、待ち得る。</t>
        </is>
      </c>
      <c r="D12" s="11" t="inlineStr">
        <is>
          <t>SELECT を全部待たない、とは言えない。</t>
        </is>
      </c>
    </row>
    <row r="13" ht="40" customHeight="1">
      <c r="A13" s="9" t="inlineStr">
        <is>
          <t>待つ文</t>
        </is>
      </c>
      <c r="B13" s="10" t="inlineStr">
        <is>
          <t>UPDATE、DELETE、SELECT ... FOR UPDATE、SELECT ... FOR SHARE。</t>
        </is>
      </c>
      <c r="C13" s="10" t="inlineStr">
        <is>
          <t>挿入インテンション、レコードロック、ネクストキーが、相反するロックとぶつかったとき待つ。</t>
        </is>
      </c>
      <c r="D13" s="10" t="inlineStr">
        <is>
          <t>ギャップロック同士は競合しない。</t>
        </is>
      </c>
    </row>
    <row r="14" ht="40" customHeight="1">
      <c r="A14" s="9" t="inlineStr">
        <is>
          <t>隙間</t>
        </is>
      </c>
      <c r="B14" s="11" t="inlineStr">
        <is>
          <t>REPEATABLE READ が既定。範囲は行と行のあいだも押さえる。</t>
        </is>
      </c>
      <c r="C14" s="11" t="inlineStr">
        <is>
          <t>120秒への延長が閉じたままにするのは、1行とは限らない。</t>
        </is>
      </c>
      <c r="D14" s="11" t="inlineStr">
        <is>
          <t>見えている行だけを想像すると、被害範囲を小さく見積もる。</t>
        </is>
      </c>
    </row>
    <row r="15" ht="72" customHeight="1">
      <c r="A15" s="9" t="inlineStr">
        <is>
          <t>輪の上限</t>
        </is>
      </c>
      <c r="B15" s="10" t="inlineStr">
        <is>
          <t>待ちリストが200トランザクション、または参照ロックが1000000を超えると、デッドロックとして探索側を戻す。</t>
        </is>
      </c>
      <c r="C15" s="10" t="inlineStr">
        <is>
          <t>マニュアルはその段落にエラー番号を書いていない。</t>
        </is>
      </c>
      <c r="D15" s="10" t="inlineStr">
        <is>
          <t>この上限は、50か120かの話ではない。</t>
        </is>
      </c>
    </row>
    <row r="16" ht="40" customHeight="1">
      <c r="A16" s="9" t="inlineStr">
        <is>
          <t>高優先度</t>
        </is>
      </c>
      <c r="B16" s="11" t="inlineStr">
        <is>
          <t>変数の説明には、例外は書いていない。</t>
        </is>
      </c>
      <c r="C16" s="11" t="inlineStr">
        <is>
          <t>ソースには、高優先度トランザクションがタイムアウトをスキップする分岐がある。</t>
        </is>
      </c>
      <c r="D16" s="11" t="inlineStr">
        <is>
          <t>何が利用者から見て高優先度になるかは、未確認。</t>
        </is>
      </c>
    </row>
    <row r="17" ht="40" customHeight="1">
      <c r="A17" s="14" t="inlineStr">
        <is>
          <t>ステータスの単位</t>
        </is>
      </c>
      <c r="B17" s="14" t="inlineStr">
        <is>
          <t>Innodb_row_lock_time 系はミリ秒。</t>
        </is>
      </c>
      <c r="C17" s="14" t="inlineStr">
        <is>
          <t>設定値の50や120は秒。50000ミリ秒が50秒、120000ミリ秒が120秒。</t>
        </is>
      </c>
      <c r="D17" s="14" t="inlineStr">
        <is>
          <t>単位を混ぜると、10倍違って見える。</t>
        </is>
      </c>
    </row>
    <row r="18"/>
    <row r="19" ht="36" customHeight="1">
      <c r="A19" s="15" t="inlineStr">
        <is>
          <t>調査日 2026-10-08。50秒と120秒を同じ負荷で比べた公開の測定は無い。測定と書いていない数字は、仕組みから出した天井である。</t>
        </is>
      </c>
    </row>
  </sheetData>
  <autoFilter ref="A4:D17"/>
  <mergeCells count="3">
    <mergeCell ref="A1:D1"/>
    <mergeCell ref="A19:D19"/>
    <mergeCell ref="A2:D2"/>
  </mergeCells>
  <printOptions horizontalCentered="1"/>
  <pageMargins left="0.45" right="0.45" top="0.72" bottom="0.55" header="0.26" footer="0.26"/>
  <pageSetup orientation="landscape" paperSize="9" fitToHeight="0" fitToWidth="1" pageOrder="downThenOver"/>
  <headerFooter>
    <oddHeader>&amp;L&amp;"Meiryo UI"&amp;9 &amp;K595959Aurora MySQL 8.4.7   innodb_lock_wait_timeout&amp;R&amp;"Meiryo UI"&amp;9 &amp;K595959動作原理</oddHeader>
    <oddFooter>&amp;L&amp;"Meiryo UI"&amp;8 &amp;K595959調査日 2026-10-08    測定ではなく機構の説明    Meiryo UI / モノトーン&amp;R&amp;"Meiryo UI"&amp;8 &amp;K595959&amp;P / &amp;N</oddFooter>
    <evenHeader/>
    <evenFooter/>
    <firstHeader/>
    <firstFooter/>
  </headerFooter>
</worksheet>
</file>

<file path=xl/worksheets/sheet5.xml><?xml version="1.0" encoding="utf-8"?>
<worksheet xmlns="http://schemas.openxmlformats.org/spreadsheetml/2006/main">
  <sheetPr>
    <tabColor rgb="004A4A4A"/>
    <outlinePr summaryBelow="1" summaryRight="1"/>
    <pageSetUpPr fitToPage="1"/>
  </sheetPr>
  <dimension ref="A1:O22"/>
  <sheetViews>
    <sheetView showGridLines="0" showRowColHeaders="1" view="normal" zoomScale="110" workbookViewId="0">
      <pane xSplit="1" ySplit="6" topLeftCell="B7" activePane="bottomRight" state="frozen"/>
      <selection pane="topRight"/>
      <selection pane="bottomLeft"/>
      <selection pane="bottomRight" activeCell="A1" sqref="A1"/>
    </sheetView>
  </sheetViews>
  <sheetFormatPr baseColWidth="8" defaultRowHeight="18"/>
  <cols>
    <col width="28"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28" customWidth="1" min="15" max="15"/>
  </cols>
  <sheetData>
    <row r="1" ht="42" customHeight="1">
      <c r="A1" s="1" t="inlineStr">
        <is>
          <t>三つの終わり方を、10秒刻みで見る</t>
        </is>
      </c>
      <c r="B1" s="2" t="n"/>
      <c r="C1" s="2" t="n"/>
      <c r="D1" s="2" t="n"/>
      <c r="E1" s="2" t="n"/>
      <c r="F1" s="2" t="n"/>
      <c r="G1" s="2" t="n"/>
      <c r="H1" s="2" t="n"/>
      <c r="I1" s="2" t="n"/>
      <c r="J1" s="2" t="n"/>
      <c r="K1" s="2" t="n"/>
      <c r="L1" s="2" t="n"/>
      <c r="M1" s="2" t="n"/>
      <c r="N1" s="2" t="n"/>
      <c r="O1" s="2" t="n"/>
    </row>
    <row r="2" ht="46" customHeight="1">
      <c r="A2" s="3" t="inlineStr">
        <is>
          <t>マスはイメージ。実際の判定は約1秒ごとなので、50や120の境界は数秒ずれ得る。黒に近いマスは鉛筆を持っている側。中間の灰色は待っている側。</t>
        </is>
      </c>
      <c r="B2" s="4" t="n"/>
      <c r="C2" s="4" t="n"/>
      <c r="D2" s="4" t="n"/>
      <c r="E2" s="4" t="n"/>
      <c r="F2" s="4" t="n"/>
      <c r="G2" s="4" t="n"/>
      <c r="H2" s="4" t="n"/>
      <c r="I2" s="4" t="n"/>
      <c r="J2" s="4" t="n"/>
      <c r="K2" s="4" t="n"/>
      <c r="L2" s="4" t="n"/>
      <c r="M2" s="4" t="n"/>
      <c r="N2" s="4" t="n"/>
      <c r="O2" s="4" t="n"/>
    </row>
    <row r="3" ht="10" customHeight="1">
      <c r="A3" s="5" t="n"/>
    </row>
    <row r="4" ht="22" customHeight="1">
      <c r="A4" s="16" t="inlineStr">
        <is>
          <t>持つ</t>
        </is>
      </c>
      <c r="B4" s="16" t="n"/>
      <c r="C4" s="17" t="inlineStr">
        <is>
          <t>待つ</t>
        </is>
      </c>
      <c r="D4" s="17" t="n"/>
      <c r="E4" s="18" t="inlineStr">
        <is>
          <t>成功</t>
        </is>
      </c>
      <c r="F4" s="18" t="n"/>
      <c r="G4" s="19" t="inlineStr">
        <is>
          <t>1205</t>
        </is>
      </c>
      <c r="H4" s="19" t="n"/>
      <c r="I4" s="20" t="inlineStr">
        <is>
          <t>差が出ない帯の外</t>
        </is>
      </c>
      <c r="J4" s="20" t="n"/>
      <c r="K4" s="20" t="n"/>
      <c r="L4" s="20" t="n"/>
      <c r="M4" s="20" t="n"/>
      <c r="N4" s="20" t="n"/>
    </row>
    <row r="5"/>
    <row r="6" ht="22" customHeight="1">
      <c r="A6" s="16" t="inlineStr">
        <is>
          <t>誰 / 秒</t>
        </is>
      </c>
      <c r="B6" s="21" t="inlineStr">
        <is>
          <t>0</t>
        </is>
      </c>
      <c r="C6" s="21" t="inlineStr">
        <is>
          <t>10</t>
        </is>
      </c>
      <c r="D6" s="21" t="inlineStr">
        <is>
          <t>20</t>
        </is>
      </c>
      <c r="E6" s="21" t="inlineStr">
        <is>
          <t>30</t>
        </is>
      </c>
      <c r="F6" s="21" t="inlineStr">
        <is>
          <t>40</t>
        </is>
      </c>
      <c r="G6" s="21" t="inlineStr">
        <is>
          <t>50</t>
        </is>
      </c>
      <c r="H6" s="21" t="inlineStr">
        <is>
          <t>60</t>
        </is>
      </c>
      <c r="I6" s="21" t="inlineStr">
        <is>
          <t>70</t>
        </is>
      </c>
      <c r="J6" s="21" t="inlineStr">
        <is>
          <t>80</t>
        </is>
      </c>
      <c r="K6" s="21" t="inlineStr">
        <is>
          <t>90</t>
        </is>
      </c>
      <c r="L6" s="21" t="inlineStr">
        <is>
          <t>100</t>
        </is>
      </c>
      <c r="M6" s="21" t="inlineStr">
        <is>
          <t>110</t>
        </is>
      </c>
      <c r="N6" s="21" t="inlineStr">
        <is>
          <t>120</t>
        </is>
      </c>
      <c r="O6" s="22" t="inlineStr">
        <is>
          <t>結果</t>
        </is>
      </c>
    </row>
    <row r="7" ht="22" customHeight="1">
      <c r="A7" s="23" t="inlineStr">
        <is>
          <t>終わり方1　あおいが30秒で戻る</t>
        </is>
      </c>
      <c r="B7" s="24" t="n"/>
      <c r="C7" s="24" t="n"/>
      <c r="D7" s="24" t="n"/>
      <c r="E7" s="24" t="n"/>
      <c r="F7" s="24" t="n"/>
      <c r="G7" s="24" t="n"/>
      <c r="H7" s="24" t="n"/>
      <c r="I7" s="24" t="n"/>
      <c r="J7" s="24" t="n"/>
      <c r="K7" s="24" t="n"/>
      <c r="L7" s="24" t="n"/>
      <c r="M7" s="24" t="n"/>
      <c r="N7" s="24" t="n"/>
      <c r="O7" s="24" t="n"/>
    </row>
    <row r="8" ht="28" customHeight="1">
      <c r="A8" s="25" t="inlineStr">
        <is>
          <t>あおい（持つ）</t>
        </is>
      </c>
      <c r="B8" s="26" t="inlineStr">
        <is>
          <t>持</t>
        </is>
      </c>
      <c r="C8" s="26" t="inlineStr">
        <is>
          <t>持</t>
        </is>
      </c>
      <c r="D8" s="26" t="inlineStr">
        <is>
          <t>持</t>
        </is>
      </c>
      <c r="E8" s="27" t="inlineStr"/>
      <c r="F8" s="27" t="inlineStr"/>
      <c r="G8" s="27" t="inlineStr"/>
      <c r="H8" s="27" t="inlineStr"/>
      <c r="I8" s="27" t="inlineStr"/>
      <c r="J8" s="27" t="inlineStr"/>
      <c r="K8" s="27" t="inlineStr"/>
      <c r="L8" s="27" t="inlineStr"/>
      <c r="M8" s="27" t="inlineStr"/>
      <c r="N8" s="27" t="inlineStr"/>
      <c r="O8" s="28" t="inlineStr">
        <is>
          <t>30秒で鉛筆を返す</t>
        </is>
      </c>
    </row>
    <row r="9" ht="28" customHeight="1">
      <c r="A9" s="25" t="inlineStr">
        <is>
          <t>べん・ベル50</t>
        </is>
      </c>
      <c r="B9" s="29" t="inlineStr">
        <is>
          <t>待</t>
        </is>
      </c>
      <c r="C9" s="29" t="inlineStr">
        <is>
          <t>待</t>
        </is>
      </c>
      <c r="D9" s="29" t="inlineStr">
        <is>
          <t>待</t>
        </is>
      </c>
      <c r="E9" s="30" t="inlineStr">
        <is>
          <t>成功</t>
        </is>
      </c>
      <c r="F9" s="27" t="inlineStr"/>
      <c r="G9" s="27" t="inlineStr"/>
      <c r="H9" s="27" t="inlineStr"/>
      <c r="I9" s="27" t="inlineStr"/>
      <c r="J9" s="27" t="inlineStr"/>
      <c r="K9" s="27" t="inlineStr"/>
      <c r="L9" s="27" t="inlineStr"/>
      <c r="M9" s="27" t="inlineStr"/>
      <c r="N9" s="27" t="inlineStr"/>
      <c r="O9" s="28" t="inlineStr">
        <is>
          <t>30秒で成功。差は無い</t>
        </is>
      </c>
    </row>
    <row r="10" ht="28" customHeight="1">
      <c r="A10" s="25" t="inlineStr">
        <is>
          <t>べん・ベル120</t>
        </is>
      </c>
      <c r="B10" s="29" t="inlineStr">
        <is>
          <t>待</t>
        </is>
      </c>
      <c r="C10" s="29" t="inlineStr">
        <is>
          <t>待</t>
        </is>
      </c>
      <c r="D10" s="29" t="inlineStr">
        <is>
          <t>待</t>
        </is>
      </c>
      <c r="E10" s="30" t="inlineStr">
        <is>
          <t>成功</t>
        </is>
      </c>
      <c r="F10" s="27" t="inlineStr"/>
      <c r="G10" s="27" t="inlineStr"/>
      <c r="H10" s="27" t="inlineStr"/>
      <c r="I10" s="27" t="inlineStr"/>
      <c r="J10" s="27" t="inlineStr"/>
      <c r="K10" s="27" t="inlineStr"/>
      <c r="L10" s="27" t="inlineStr"/>
      <c r="M10" s="27" t="inlineStr"/>
      <c r="N10" s="27" t="inlineStr"/>
      <c r="O10" s="28" t="inlineStr">
        <is>
          <t>30秒で成功。差は無い</t>
        </is>
      </c>
    </row>
    <row r="11"/>
    <row r="12" ht="22" customHeight="1">
      <c r="A12" s="23" t="inlineStr">
        <is>
          <t>終わり方2　あおいが80秒で戻る。ここだけ120が成功し得る</t>
        </is>
      </c>
      <c r="B12" s="24" t="n"/>
      <c r="C12" s="24" t="n"/>
      <c r="D12" s="24" t="n"/>
      <c r="E12" s="24" t="n"/>
      <c r="F12" s="24" t="n"/>
      <c r="G12" s="24" t="n"/>
      <c r="H12" s="24" t="n"/>
      <c r="I12" s="24" t="n"/>
      <c r="J12" s="24" t="n"/>
      <c r="K12" s="24" t="n"/>
      <c r="L12" s="24" t="n"/>
      <c r="M12" s="24" t="n"/>
      <c r="N12" s="24" t="n"/>
      <c r="O12" s="24" t="n"/>
    </row>
    <row r="13" ht="28" customHeight="1">
      <c r="A13" s="25" t="inlineStr">
        <is>
          <t>あおい（持つ）</t>
        </is>
      </c>
      <c r="B13" s="26" t="inlineStr">
        <is>
          <t>持</t>
        </is>
      </c>
      <c r="C13" s="26" t="inlineStr">
        <is>
          <t>持</t>
        </is>
      </c>
      <c r="D13" s="26" t="inlineStr">
        <is>
          <t>持</t>
        </is>
      </c>
      <c r="E13" s="26" t="inlineStr">
        <is>
          <t>持</t>
        </is>
      </c>
      <c r="F13" s="26" t="inlineStr">
        <is>
          <t>持</t>
        </is>
      </c>
      <c r="G13" s="26" t="inlineStr">
        <is>
          <t>持</t>
        </is>
      </c>
      <c r="H13" s="26" t="inlineStr">
        <is>
          <t>持</t>
        </is>
      </c>
      <c r="I13" s="26" t="inlineStr">
        <is>
          <t>持</t>
        </is>
      </c>
      <c r="J13" s="27" t="inlineStr"/>
      <c r="K13" s="27" t="inlineStr"/>
      <c r="L13" s="27" t="inlineStr"/>
      <c r="M13" s="27" t="inlineStr"/>
      <c r="N13" s="27" t="inlineStr"/>
      <c r="O13" s="28" t="inlineStr">
        <is>
          <t>80秒で鉛筆を返す</t>
        </is>
      </c>
    </row>
    <row r="14" ht="28" customHeight="1">
      <c r="A14" s="25" t="inlineStr">
        <is>
          <t>べん・ベル50</t>
        </is>
      </c>
      <c r="B14" s="29" t="inlineStr">
        <is>
          <t>待</t>
        </is>
      </c>
      <c r="C14" s="29" t="inlineStr">
        <is>
          <t>待</t>
        </is>
      </c>
      <c r="D14" s="29" t="inlineStr">
        <is>
          <t>待</t>
        </is>
      </c>
      <c r="E14" s="29" t="inlineStr">
        <is>
          <t>待</t>
        </is>
      </c>
      <c r="F14" s="29" t="inlineStr">
        <is>
          <t>待</t>
        </is>
      </c>
      <c r="G14" s="31" t="inlineStr">
        <is>
          <t>1205</t>
        </is>
      </c>
      <c r="H14" s="27" t="inlineStr"/>
      <c r="I14" s="27" t="inlineStr"/>
      <c r="J14" s="27" t="inlineStr"/>
      <c r="K14" s="27" t="inlineStr"/>
      <c r="L14" s="27" t="inlineStr"/>
      <c r="M14" s="27" t="inlineStr"/>
      <c r="N14" s="27" t="inlineStr"/>
      <c r="O14" s="28" t="inlineStr">
        <is>
          <t>約50秒で失敗。80秒の成功には間に合わない</t>
        </is>
      </c>
    </row>
    <row r="15" ht="28" customHeight="1">
      <c r="A15" s="25" t="inlineStr">
        <is>
          <t>べん・ベル120</t>
        </is>
      </c>
      <c r="B15" s="29" t="inlineStr">
        <is>
          <t>待</t>
        </is>
      </c>
      <c r="C15" s="29" t="inlineStr">
        <is>
          <t>待</t>
        </is>
      </c>
      <c r="D15" s="29" t="inlineStr">
        <is>
          <t>待</t>
        </is>
      </c>
      <c r="E15" s="29" t="inlineStr">
        <is>
          <t>待</t>
        </is>
      </c>
      <c r="F15" s="29" t="inlineStr">
        <is>
          <t>待</t>
        </is>
      </c>
      <c r="G15" s="29" t="inlineStr">
        <is>
          <t>待</t>
        </is>
      </c>
      <c r="H15" s="29" t="inlineStr">
        <is>
          <t>待</t>
        </is>
      </c>
      <c r="I15" s="29" t="inlineStr">
        <is>
          <t>待</t>
        </is>
      </c>
      <c r="J15" s="30" t="inlineStr">
        <is>
          <t>成功</t>
        </is>
      </c>
      <c r="K15" s="27" t="inlineStr"/>
      <c r="L15" s="27" t="inlineStr"/>
      <c r="M15" s="27" t="inlineStr"/>
      <c r="N15" s="27" t="inlineStr"/>
      <c r="O15" s="28" t="inlineStr">
        <is>
          <t>80秒で成功し得る。これが唯一の得</t>
        </is>
      </c>
    </row>
    <row r="16"/>
    <row r="17" ht="22" customHeight="1">
      <c r="A17" s="23" t="inlineStr">
        <is>
          <t>終わり方3　あおいが戻らない。両方失敗し、120が70秒長く席を塞ぐ</t>
        </is>
      </c>
      <c r="B17" s="24" t="n"/>
      <c r="C17" s="24" t="n"/>
      <c r="D17" s="24" t="n"/>
      <c r="E17" s="24" t="n"/>
      <c r="F17" s="24" t="n"/>
      <c r="G17" s="24" t="n"/>
      <c r="H17" s="24" t="n"/>
      <c r="I17" s="24" t="n"/>
      <c r="J17" s="24" t="n"/>
      <c r="K17" s="24" t="n"/>
      <c r="L17" s="24" t="n"/>
      <c r="M17" s="24" t="n"/>
      <c r="N17" s="24" t="n"/>
      <c r="O17" s="24" t="n"/>
    </row>
    <row r="18" ht="28" customHeight="1">
      <c r="A18" s="25" t="inlineStr">
        <is>
          <t>あおい（持つ）</t>
        </is>
      </c>
      <c r="B18" s="26" t="inlineStr">
        <is>
          <t>持</t>
        </is>
      </c>
      <c r="C18" s="26" t="inlineStr">
        <is>
          <t>持</t>
        </is>
      </c>
      <c r="D18" s="26" t="inlineStr">
        <is>
          <t>持</t>
        </is>
      </c>
      <c r="E18" s="26" t="inlineStr">
        <is>
          <t>持</t>
        </is>
      </c>
      <c r="F18" s="26" t="inlineStr">
        <is>
          <t>持</t>
        </is>
      </c>
      <c r="G18" s="26" t="inlineStr">
        <is>
          <t>持</t>
        </is>
      </c>
      <c r="H18" s="26" t="inlineStr">
        <is>
          <t>持</t>
        </is>
      </c>
      <c r="I18" s="26" t="inlineStr">
        <is>
          <t>持</t>
        </is>
      </c>
      <c r="J18" s="26" t="inlineStr">
        <is>
          <t>持</t>
        </is>
      </c>
      <c r="K18" s="26" t="inlineStr">
        <is>
          <t>持</t>
        </is>
      </c>
      <c r="L18" s="26" t="inlineStr">
        <is>
          <t>持</t>
        </is>
      </c>
      <c r="M18" s="26" t="inlineStr">
        <is>
          <t>持</t>
        </is>
      </c>
      <c r="N18" s="26" t="inlineStr">
        <is>
          <t>持</t>
        </is>
      </c>
      <c r="O18" s="28" t="inlineStr">
        <is>
          <t>10分でも戻らない、の先頭120秒だけを描く</t>
        </is>
      </c>
    </row>
    <row r="19" ht="28" customHeight="1">
      <c r="A19" s="25" t="inlineStr">
        <is>
          <t>べん・ベル50</t>
        </is>
      </c>
      <c r="B19" s="29" t="inlineStr">
        <is>
          <t>待</t>
        </is>
      </c>
      <c r="C19" s="29" t="inlineStr">
        <is>
          <t>待</t>
        </is>
      </c>
      <c r="D19" s="29" t="inlineStr">
        <is>
          <t>待</t>
        </is>
      </c>
      <c r="E19" s="29" t="inlineStr">
        <is>
          <t>待</t>
        </is>
      </c>
      <c r="F19" s="29" t="inlineStr">
        <is>
          <t>待</t>
        </is>
      </c>
      <c r="G19" s="31" t="inlineStr">
        <is>
          <t>1205</t>
        </is>
      </c>
      <c r="H19" s="27" t="inlineStr"/>
      <c r="I19" s="27" t="inlineStr"/>
      <c r="J19" s="27" t="inlineStr"/>
      <c r="K19" s="27" t="inlineStr"/>
      <c r="L19" s="27" t="inlineStr"/>
      <c r="M19" s="27" t="inlineStr"/>
      <c r="N19" s="27" t="inlineStr"/>
      <c r="O19" s="28" t="inlineStr">
        <is>
          <t>約50秒で席が空く</t>
        </is>
      </c>
    </row>
    <row r="20" ht="28" customHeight="1">
      <c r="A20" s="25" t="inlineStr">
        <is>
          <t>べん・ベル120</t>
        </is>
      </c>
      <c r="B20" s="29" t="inlineStr">
        <is>
          <t>待</t>
        </is>
      </c>
      <c r="C20" s="29" t="inlineStr">
        <is>
          <t>待</t>
        </is>
      </c>
      <c r="D20" s="29" t="inlineStr">
        <is>
          <t>待</t>
        </is>
      </c>
      <c r="E20" s="29" t="inlineStr">
        <is>
          <t>待</t>
        </is>
      </c>
      <c r="F20" s="29" t="inlineStr">
        <is>
          <t>待</t>
        </is>
      </c>
      <c r="G20" s="29" t="inlineStr">
        <is>
          <t>待</t>
        </is>
      </c>
      <c r="H20" s="29" t="inlineStr">
        <is>
          <t>待</t>
        </is>
      </c>
      <c r="I20" s="29" t="inlineStr">
        <is>
          <t>待</t>
        </is>
      </c>
      <c r="J20" s="29" t="inlineStr">
        <is>
          <t>待</t>
        </is>
      </c>
      <c r="K20" s="29" t="inlineStr">
        <is>
          <t>待</t>
        </is>
      </c>
      <c r="L20" s="29" t="inlineStr">
        <is>
          <t>待</t>
        </is>
      </c>
      <c r="M20" s="29" t="inlineStr">
        <is>
          <t>待</t>
        </is>
      </c>
      <c r="N20" s="31" t="inlineStr">
        <is>
          <t>1205</t>
        </is>
      </c>
      <c r="O20" s="28" t="inlineStr">
        <is>
          <t>約120秒まで席を塞いでから失敗</t>
        </is>
      </c>
    </row>
    <row r="21"/>
    <row r="22" ht="32" customHeight="1">
      <c r="A22" s="12" t="inlineStr">
        <is>
          <t>この絵の30秒、80秒、10分は、説明のために選んだ時刻である。AWS の解説に82秒生きている取引の例があるが、それは50と120を測った結果ではない。自分の本数で占有秒を出すのは、次のシート「05_計算」。</t>
        </is>
      </c>
    </row>
  </sheetData>
  <mergeCells count="11">
    <mergeCell ref="A4:B4"/>
    <mergeCell ref="G4:H4"/>
    <mergeCell ref="E4:F4"/>
    <mergeCell ref="A7:O7"/>
    <mergeCell ref="A12:O12"/>
    <mergeCell ref="A2:O2"/>
    <mergeCell ref="A1:O1"/>
    <mergeCell ref="A22:O22"/>
    <mergeCell ref="A17:O17"/>
    <mergeCell ref="I4:N4"/>
    <mergeCell ref="C4:D4"/>
  </mergeCells>
  <printOptions horizontalCentered="1"/>
  <pageMargins left="0.45" right="0.45" top="0.72" bottom="0.55" header="0.26" footer="0.26"/>
  <pageSetup orientation="landscape" paperSize="9" fitToHeight="0" fitToWidth="1" pageOrder="downThenOver"/>
  <headerFooter>
    <oddHeader>&amp;L&amp;"Meiryo UI"&amp;9 &amp;K595959Aurora MySQL 8.4.7   innodb_lock_wait_timeout&amp;R&amp;"Meiryo UI"&amp;9 &amp;K595959時間の絵</oddHeader>
    <oddFooter>&amp;L&amp;"Meiryo UI"&amp;8 &amp;K595959調査日 2026-10-08    測定ではなく機構の説明    Meiryo UI / モノトーン&amp;R&amp;"Meiryo UI"&amp;8 &amp;K595959&amp;P / &amp;N</oddFooter>
    <evenHeader/>
    <evenFooter/>
    <firstHeader/>
    <firstFooter/>
  </headerFooter>
</worksheet>
</file>

<file path=xl/worksheets/sheet6.xml><?xml version="1.0" encoding="utf-8"?>
<worksheet xmlns="http://schemas.openxmlformats.org/spreadsheetml/2006/main">
  <sheetPr>
    <tabColor rgb="003A3A3A"/>
    <outlinePr summaryBelow="1" summaryRight="1"/>
    <pageSetUpPr fitToPage="1"/>
  </sheetPr>
  <dimension ref="A1:D22"/>
  <sheetViews>
    <sheetView showGridLines="0" showRowColHeaders="1" view="normal" zoomScale="110" workbookViewId="0">
      <pane ySplit="4" topLeftCell="A5" activePane="bottomLeft" state="frozen"/>
      <selection pane="bottomLeft" activeCell="A1" sqref="A1"/>
    </sheetView>
  </sheetViews>
  <sheetFormatPr baseColWidth="8" defaultRowHeight="18"/>
  <cols>
    <col width="34" customWidth="1" min="1" max="1"/>
    <col width="22" customWidth="1" min="2" max="2"/>
    <col width="22" customWidth="1" min="3" max="3"/>
    <col width="55" customWidth="1" min="4" max="4"/>
  </cols>
  <sheetData>
    <row r="1" ht="42" customHeight="1">
      <c r="A1" s="1" t="inlineStr">
        <is>
          <t>プール本数と、放す秒を入れて、席のふさがり方を比べる</t>
        </is>
      </c>
      <c r="B1" s="2" t="n"/>
      <c r="C1" s="2" t="n"/>
      <c r="D1" s="2" t="n"/>
    </row>
    <row r="2" ht="46" customHeight="1">
      <c r="A2" s="3" t="inlineStr">
        <is>
          <t>前提は「同じロックに一斉に並び、1205のあと接続を返す」。実システムの観測ではない。入力の灰色セルだけを変える。</t>
        </is>
      </c>
      <c r="B2" s="4" t="n"/>
      <c r="C2" s="4" t="n"/>
      <c r="D2" s="4" t="n"/>
    </row>
    <row r="3" ht="10" customHeight="1">
      <c r="A3" s="5" t="n"/>
    </row>
    <row r="4" ht="22" customHeight="1">
      <c r="A4" s="32" t="inlineStr">
        <is>
          <t>入力</t>
        </is>
      </c>
      <c r="B4" s="32" t="inlineStr">
        <is>
          <t>値</t>
        </is>
      </c>
      <c r="C4" s="32" t="inlineStr">
        <is>
          <t>単位</t>
        </is>
      </c>
      <c r="D4" s="32" t="inlineStr">
        <is>
          <t>意味</t>
        </is>
      </c>
    </row>
    <row r="5" ht="28" customHeight="1">
      <c r="A5" s="33" t="inlineStr">
        <is>
          <t>プールの接続本数</t>
        </is>
      </c>
      <c r="B5" s="34" t="n">
        <v>200</v>
      </c>
      <c r="C5" s="35" t="inlineStr">
        <is>
          <t>本</t>
        </is>
      </c>
      <c r="D5" s="36" t="inlineStr">
        <is>
          <t>同じロックに並ぶ接続の数。説明の初期値は200。</t>
        </is>
      </c>
    </row>
    <row r="6" ht="28" customHeight="1">
      <c r="A6" s="33" t="inlineStr">
        <is>
          <t>あおいが放すまでの秒</t>
        </is>
      </c>
      <c r="B6" s="34" t="n">
        <v>80</v>
      </c>
      <c r="C6" s="35" t="inlineStr">
        <is>
          <t>秒</t>
        </is>
      </c>
      <c r="D6" s="36" t="inlineStr">
        <is>
          <t>COMMIT するまでの秒。放置を見るなら600（10分）にする。</t>
        </is>
      </c>
    </row>
    <row r="7" ht="28" customHeight="1">
      <c r="A7" s="33" t="inlineStr">
        <is>
          <t>短いベル（秒）</t>
        </is>
      </c>
      <c r="B7" s="34" t="n">
        <v>50</v>
      </c>
      <c r="C7" s="35" t="inlineStr">
        <is>
          <t>秒</t>
        </is>
      </c>
      <c r="D7" s="36" t="inlineStr">
        <is>
          <t>既定。1以上。</t>
        </is>
      </c>
    </row>
    <row r="8" ht="28" customHeight="1">
      <c r="A8" s="33" t="inlineStr">
        <is>
          <t>長いベル（秒）</t>
        </is>
      </c>
      <c r="B8" s="34" t="n">
        <v>120</v>
      </c>
      <c r="C8" s="35" t="inlineStr">
        <is>
          <t>秒</t>
        </is>
      </c>
      <c r="D8" s="36" t="inlineStr">
        <is>
          <t>比較したい値。1以上。</t>
        </is>
      </c>
    </row>
    <row r="9"/>
    <row r="10" ht="22" customHeight="1">
      <c r="A10" s="8" t="inlineStr">
        <is>
          <t>出てくるもの</t>
        </is>
      </c>
      <c r="B10" s="8" t="inlineStr">
        <is>
          <t>短いベル</t>
        </is>
      </c>
      <c r="C10" s="8" t="inlineStr">
        <is>
          <t>長いベル</t>
        </is>
      </c>
      <c r="D10" s="8" t="inlineStr">
        <is>
          <t>式の意味</t>
        </is>
      </c>
    </row>
    <row r="11" ht="30" customHeight="1">
      <c r="A11" s="37" t="inlineStr">
        <is>
          <t>1本が席を塞ぐ秒</t>
        </is>
      </c>
      <c r="B11" s="38">
        <f>MIN(BlockerSec,TimeoutShort)</f>
        <v/>
      </c>
      <c r="C11" s="39">
        <f>MIN(BlockerSec,TimeoutLong)</f>
        <v/>
      </c>
      <c r="D11" s="36" t="inlineStr">
        <is>
          <t>相手が放す時刻と、ベルの早い方</t>
        </is>
      </c>
    </row>
    <row r="12" ht="30" customHeight="1">
      <c r="A12" s="37" t="inlineStr">
        <is>
          <t>その待ちは成功し得るか</t>
        </is>
      </c>
      <c r="B12" s="40">
        <f>IF(BlockerSec&lt;=TimeoutShort,"成功し得る","1205で失敗")</f>
        <v/>
      </c>
      <c r="C12" s="41">
        <f>IF(BlockerSec&lt;=TimeoutLong,"成功し得る","1205で失敗")</f>
        <v/>
      </c>
      <c r="D12" s="36" t="inlineStr">
        <is>
          <t>放す秒がベル以下なら成功側</t>
        </is>
      </c>
    </row>
    <row r="13" ht="30" customHeight="1">
      <c r="A13" s="37" t="inlineStr">
        <is>
          <t>全員の占有（接続秒）</t>
        </is>
      </c>
      <c r="B13" s="38">
        <f>PoolSize*B11</f>
        <v/>
      </c>
      <c r="C13" s="39">
        <f>PoolSize*C11</f>
        <v/>
      </c>
      <c r="D13" s="36" t="inlineStr">
        <is>
          <t>本数 × 1本の秒。観測ではない</t>
        </is>
      </c>
    </row>
    <row r="14" ht="30" customHeight="1">
      <c r="A14" s="37" t="inlineStr">
        <is>
          <t>長いベルが余分に塞ぐ接続秒</t>
        </is>
      </c>
      <c r="B14" s="38">
        <f>C13-B13</f>
        <v/>
      </c>
      <c r="C14" s="39">
        <f>C13-B13</f>
        <v/>
      </c>
      <c r="D14" s="36" t="inlineStr">
        <is>
          <t>長い側マイナス短い側。負なら短い側の方が長く塞いでいる</t>
        </is>
      </c>
    </row>
    <row r="15" ht="30" customHeight="1">
      <c r="A15" s="37" t="inlineStr">
        <is>
          <t>天井の差（秒）</t>
        </is>
      </c>
      <c r="B15" s="38">
        <f>TimeoutLong-TimeoutShort</f>
        <v/>
      </c>
      <c r="C15" s="39">
        <f>TimeoutLong-TimeoutShort</f>
        <v/>
      </c>
      <c r="D15" s="36" t="inlineStr">
        <is>
          <t>ベルどうしの差。実際の待ちの差とは限らない</t>
        </is>
      </c>
    </row>
    <row r="16" ht="30" customHeight="1">
      <c r="A16" s="37" t="inlineStr">
        <is>
          <t>天井の比</t>
        </is>
      </c>
      <c r="B16" s="42">
        <f>IF(TimeoutShort=0,"",TimeoutLong/TimeoutShort)</f>
        <v/>
      </c>
      <c r="C16" s="43">
        <f>IF(TimeoutShort=0,"",TimeoutLong/TimeoutShort)</f>
        <v/>
      </c>
      <c r="D16" s="36" t="inlineStr">
        <is>
          <t>120と50なら2.4。遅延倍率ではない</t>
        </is>
      </c>
    </row>
    <row r="17"/>
    <row r="18" ht="32" customHeight="1">
      <c r="A18" s="44" t="inlineStr">
        <is>
          <t>初期値の読み方</t>
        </is>
      </c>
      <c r="B18" s="45" t="inlineStr">
        <is>
          <t>放す秒が80、ベルが50と120なら、短い側は1205、長い側は成功し得る。占有は 200×50 と 200×80。</t>
        </is>
      </c>
      <c r="C18" s="46" t="n"/>
      <c r="D18" s="46" t="n"/>
    </row>
    <row r="19" ht="32" customHeight="1">
      <c r="A19" s="44" t="inlineStr">
        <is>
          <t>放置に切り替える</t>
        </is>
      </c>
      <c r="B19" s="45" t="inlineStr">
        <is>
          <t>放す秒を600にすると、両方1205。余分な占有は 200×(120-50) = 14000 接続秒。</t>
        </is>
      </c>
      <c r="C19" s="46" t="n"/>
      <c r="D19" s="46" t="n"/>
    </row>
    <row r="20" ht="32" customHeight="1">
      <c r="A20" s="44" t="inlineStr">
        <is>
          <t>差が出ない例</t>
        </is>
      </c>
      <c r="B20" s="45" t="inlineStr">
        <is>
          <t>放す秒を30にすると、両方成功。占有はどちらも 200×30。ベルを伸ばした効果はゼロ。</t>
        </is>
      </c>
      <c r="C20" s="46" t="n"/>
      <c r="D20" s="46" t="n"/>
    </row>
    <row r="21"/>
    <row r="22" ht="36" customHeight="1">
      <c r="A22" s="12" t="inlineStr">
        <is>
          <t>リトルの法則での同時実行の目安は、毎秒の到着本数 × 滞留秒。50秒滞留なら到着×50、120秒滞留なら到着×120。これも説明用であり、Lambda やプールの実測ではない。</t>
        </is>
      </c>
    </row>
  </sheetData>
  <mergeCells count="6">
    <mergeCell ref="A1:D1"/>
    <mergeCell ref="B19:D19"/>
    <mergeCell ref="A22:D22"/>
    <mergeCell ref="B18:D18"/>
    <mergeCell ref="A2:D2"/>
    <mergeCell ref="B20:D20"/>
  </mergeCells>
  <dataValidations count="1">
    <dataValidation sqref="B5:B8" showDropDown="0" showInputMessage="0" showErrorMessage="0" allowBlank="0" errorTitle="入力" error="1以上の整数にしてください" promptTitle="入力" prompt="1以上の整数" type="whole" operator="greaterThanOrEqual">
      <formula1>1</formula1>
    </dataValidation>
  </dataValidations>
  <printOptions horizontalCentered="1"/>
  <pageMargins left="0.45" right="0.45" top="0.72" bottom="0.55" header="0.26" footer="0.26"/>
  <pageSetup orientation="landscape" paperSize="9" fitToHeight="0" fitToWidth="1" pageOrder="downThenOver"/>
  <headerFooter>
    <oddHeader>&amp;L&amp;"Meiryo UI"&amp;9 &amp;K595959Aurora MySQL 8.4.7   innodb_lock_wait_timeout&amp;R&amp;"Meiryo UI"&amp;9 &amp;K595959説明用の計算</oddHeader>
    <oddFooter>&amp;L&amp;"Meiryo UI"&amp;8 &amp;K595959調査日 2026-10-08    測定ではなく機構の説明    Meiryo UI / モノトーン&amp;R&amp;"Meiryo UI"&amp;8 &amp;K595959&amp;P /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00666666"/>
    <outlinePr summaryBelow="1" summaryRight="1"/>
    <pageSetUpPr fitToPage="1"/>
  </sheetPr>
  <dimension ref="A1:D23"/>
  <sheetViews>
    <sheetView showGridLines="0" showRowColHeaders="1" view="normal" zoomScale="110" workbookViewId="0">
      <pane ySplit="4" topLeftCell="A5" activePane="bottomLeft" state="frozen"/>
      <selection pane="bottomLeft" activeCell="A1" sqref="A1"/>
    </sheetView>
  </sheetViews>
  <sheetFormatPr baseColWidth="8" defaultRowHeight="18"/>
  <cols>
    <col width="24" customWidth="1" min="1" max="1"/>
    <col width="42" customWidth="1" min="2" max="2"/>
    <col width="55" customWidth="1" min="3" max="3"/>
    <col width="42" customWidth="1" min="4" max="4"/>
  </cols>
  <sheetData>
    <row r="1" ht="42" customHeight="1">
      <c r="A1" s="1" t="inlineStr">
        <is>
          <t>行ロックで長く持てるようになったあと、輪でない待ちを有限にするベルが要った</t>
        </is>
      </c>
      <c r="B1" s="2" t="n"/>
      <c r="C1" s="2" t="n"/>
      <c r="D1" s="2" t="n"/>
    </row>
    <row r="2" ht="46" customHeight="1">
      <c r="A2" s="3" t="inlineStr">
        <is>
          <t>見つかった最も古いマニュアルは、すでに既定50秒と書いている。なぜ50なのかの設計メモは、この調査では見つかっていない。</t>
        </is>
      </c>
      <c r="B2" s="4" t="n"/>
      <c r="C2" s="4" t="n"/>
      <c r="D2" s="4" t="n"/>
    </row>
    <row r="3" ht="10" customHeight="1">
      <c r="A3" s="5" t="n"/>
    </row>
    <row r="4" ht="28" customHeight="1">
      <c r="A4" s="8" t="inlineStr">
        <is>
          <t>いつ</t>
        </is>
      </c>
      <c r="B4" s="8" t="inlineStr">
        <is>
          <t>何が起きたか</t>
        </is>
      </c>
      <c r="C4" s="8" t="inlineStr">
        <is>
          <t>このベルとの関係</t>
        </is>
      </c>
      <c r="D4" s="8" t="inlineStr">
        <is>
          <t>確かさ</t>
        </is>
      </c>
    </row>
    <row r="5" ht="40" customHeight="1">
      <c r="A5" s="9" t="inlineStr">
        <is>
          <t>1995年</t>
        </is>
      </c>
      <c r="B5" s="10" t="inlineStr">
        <is>
          <t>Heikki Tuuri が Innobase を設立した、と英語版 Wikipedia が書く。</t>
        </is>
      </c>
      <c r="C5" s="10" t="inlineStr">
        <is>
          <t>行ロックを作った会社の始まり。</t>
        </is>
      </c>
      <c r="D5" s="10" t="inlineStr">
        <is>
          <t>本人の告知では再確認していない。</t>
        </is>
      </c>
    </row>
    <row r="6" ht="40" customHeight="1">
      <c r="A6" s="9" t="inlineStr">
        <is>
          <t>2000年9月〜2001年3月</t>
        </is>
      </c>
      <c r="B6" s="11" t="inlineStr">
        <is>
          <t>Wikipedia は、MySQL との協業と、InnoDB を組み込んだ MySQL のリリースをこう置く。</t>
        </is>
      </c>
      <c r="C6" s="11" t="inlineStr">
        <is>
          <t>2001年のソース定数が50だったかは未確認。</t>
        </is>
      </c>
      <c r="D6" s="11" t="inlineStr">
        <is>
          <t>版番号も未確認のため書かない。</t>
        </is>
      </c>
    </row>
    <row r="7" ht="56" customHeight="1">
      <c r="A7" s="9" t="inlineStr">
        <is>
          <t>2004年5月</t>
        </is>
      </c>
      <c r="B7" s="10" t="inlineStr">
        <is>
          <t>4.0.20（5月18日）と4.1.2（5月30日）。InnoDB が LOCK TABLES に気づく範囲が広がった。</t>
        </is>
      </c>
      <c r="C7" s="10" t="inlineStr">
        <is>
          <t>この版が変数の誕生日、とは書かれていない。文書の既定はすでに50秒。</t>
        </is>
      </c>
      <c r="D7" s="10" t="inlineStr">
        <is>
          <t>マニュアルの見出し日付。</t>
        </is>
      </c>
    </row>
    <row r="8" ht="40" customHeight="1">
      <c r="A8" s="9" t="inlineStr">
        <is>
          <t>2004年11月3日</t>
        </is>
      </c>
      <c r="B8" s="11" t="inlineStr">
        <is>
          <t>フォーラム利用者が、当時のマニュアルから The default is 50 seconds. を引用。</t>
        </is>
      </c>
      <c r="C8" s="11" t="inlineStr">
        <is>
          <t>変数と既定50秒は、4.0.20より前から文書化されていた、と読んでよい。</t>
        </is>
      </c>
      <c r="D8" s="11" t="inlineStr">
        <is>
          <t>引用の存在は確認できる。原文の初出日はそれより前。</t>
        </is>
      </c>
    </row>
    <row r="9" ht="56" customHeight="1">
      <c r="A9" s="9" t="inlineStr">
        <is>
          <t>2005年8月2日</t>
        </is>
      </c>
      <c r="B9" s="10" t="inlineStr">
        <is>
          <t>Michael Widenius が Bug #12308 を起票。タイムアウトで取引全体が戻ると使いにくい、と書いた。</t>
        </is>
      </c>
      <c r="C9" s="10" t="inlineStr">
        <is>
          <t>戻す範囲の議論が始まる。</t>
        </is>
      </c>
      <c r="D9" s="10" t="inlineStr">
        <is>
          <t>バグ本文。</t>
        </is>
      </c>
    </row>
    <row r="10" ht="56" customHeight="1">
      <c r="A10" s="13" t="inlineStr">
        <is>
          <t>2005年9月4日</t>
        </is>
      </c>
      <c r="B10" s="13" t="inlineStr">
        <is>
          <t>Heikki が5.0.13で、ロック待ちタイムアウトは直前の SQL 文だけを戻す、と書いた。以前は全体だった。</t>
        </is>
      </c>
      <c r="C10" s="13" t="inlineStr">
        <is>
          <t>今の「1205は文だけ」の起点。理由は、ロックがビットマップで、どの文の分かを覚えない、から。デッドロックは全体のまま。</t>
        </is>
      </c>
      <c r="D10" s="13" t="inlineStr">
        <is>
          <t>本人のバグコメント。</t>
        </is>
      </c>
    </row>
    <row r="11" ht="40" customHeight="1">
      <c r="A11" s="9" t="inlineStr">
        <is>
          <t>2005年10月7日</t>
        </is>
      </c>
      <c r="B11" s="10" t="inlineStr">
        <is>
          <t>Oracle が Innobase 買収を発表。</t>
        </is>
      </c>
      <c r="C11" s="10" t="inlineStr">
        <is>
          <t>InnoDB は単体製品ではなく MySQL の一部として配布されていた、とリリースは書く。</t>
        </is>
      </c>
      <c r="D11" s="10" t="inlineStr">
        <is>
          <t>プレスリリース。</t>
        </is>
      </c>
    </row>
    <row r="12" ht="56" customHeight="1">
      <c r="A12" s="13" t="inlineStr">
        <is>
          <t>2010年3月24日</t>
        </is>
      </c>
      <c r="B12" s="13" t="inlineStr">
        <is>
          <t>MySQL 5.5.3。メタデータロックと lock_wait_timeout。</t>
        </is>
      </c>
      <c r="C12" s="13" t="inlineStr">
        <is>
          <t>行の鉛筆と目録カードが別のベルになる。目録の既定は1年。5.1にはこのタイムアウトが無かったので、互換のため1年、と実装者が2013年にコメント。</t>
        </is>
      </c>
      <c r="D12" s="13" t="inlineStr">
        <is>
          <t>版の日付は文書。1年の理由はコメントであり意見。</t>
        </is>
      </c>
    </row>
    <row r="13" ht="40" customHeight="1">
      <c r="A13" s="9" t="inlineStr">
        <is>
          <t>2010年9月20日 / 12月15日</t>
        </is>
      </c>
      <c r="B13" s="10" t="inlineStr">
        <is>
          <t>MySQL 5.5 の RC と GA。InnoDB が既定エンジンになる。</t>
        </is>
      </c>
      <c r="C13" s="10" t="inlineStr">
        <is>
          <t>既定エンジン化は5.1ではない。</t>
        </is>
      </c>
      <c r="D13" s="10" t="inlineStr">
        <is>
          <t>当時の告知。</t>
        </is>
      </c>
    </row>
    <row r="14" ht="40" customHeight="1">
      <c r="A14" s="9" t="inlineStr">
        <is>
          <t>2013年2月28日</t>
        </is>
      </c>
      <c r="B14" s="11" t="inlineStr">
        <is>
          <t>Daniel Nichter が、50秒は妥当だが1年は妥当ではない、と書いた。</t>
        </is>
      </c>
      <c r="C14" s="11" t="inlineStr">
        <is>
          <t>二つのベルがわざと違う、という記録。</t>
        </is>
      </c>
      <c r="D14" s="11" t="inlineStr">
        <is>
          <t>意見。コード上の1年は8.4にも残る。</t>
        </is>
      </c>
    </row>
    <row r="15" ht="40" customHeight="1">
      <c r="A15" s="9" t="inlineStr">
        <is>
          <t>2016年9月6日</t>
        </is>
      </c>
      <c r="B15" s="10" t="inlineStr">
        <is>
          <t>MySQL 5.7.15。innodb_deadlock_detect が追加される。</t>
        </is>
      </c>
      <c r="C15" s="10" t="inlineStr">
        <is>
          <t>検出を切り、尻ぬぐいをこの秒数に任せる選択が公式に入る。</t>
        </is>
      </c>
      <c r="D15" s="10" t="inlineStr">
        <is>
          <t>リリースノート。</t>
        </is>
      </c>
    </row>
    <row r="16" ht="40" customHeight="1">
      <c r="A16" s="9" t="inlineStr">
        <is>
          <t>2018年4月19日</t>
        </is>
      </c>
      <c r="B16" s="11" t="inlineStr">
        <is>
          <t>MySQL 8.0.11 GA。</t>
        </is>
      </c>
      <c r="C16" s="11" t="inlineStr">
        <is>
          <t>8.0.1 で INNODB_LOCKS は削除され、performance_schema.data_locks に替わった。50秒は変わっていない。</t>
        </is>
      </c>
      <c r="D16" s="11" t="inlineStr">
        <is>
          <t>GA の日付。8.0.1 のリリース日は未確認。</t>
        </is>
      </c>
    </row>
    <row r="17" ht="40" customHeight="1">
      <c r="A17" s="13" t="inlineStr">
        <is>
          <t>2024年4月30日</t>
        </is>
      </c>
      <c r="B17" s="13" t="inlineStr">
        <is>
          <t>MySQL 8.4.0 LTS。多くの既定が変わった。</t>
        </is>
      </c>
      <c r="C17" s="13" t="inlineStr">
        <is>
          <t>変更一覧に innodb_lock_wait_timeout は無い。既定は50のまま。</t>
        </is>
      </c>
      <c r="D17" s="13" t="inlineStr">
        <is>
          <t>公式の変更表。</t>
        </is>
      </c>
    </row>
    <row r="18" ht="40" customHeight="1">
      <c r="A18" s="9" t="inlineStr">
        <is>
          <t>2025年10月21日</t>
        </is>
      </c>
      <c r="B18" s="11" t="inlineStr">
        <is>
          <t>コミュニティ MySQL 8.4.7。</t>
        </is>
      </c>
      <c r="C18" s="11" t="inlineStr">
        <is>
          <t>そのリリースノートを変数名で検索しても、このタイムアウトの変更はヒットしなかった。</t>
        </is>
      </c>
      <c r="D18" s="11" t="inlineStr">
        <is>
          <t>リリースノート。</t>
        </is>
      </c>
    </row>
    <row r="19" ht="40" customHeight="1">
      <c r="A19" s="9" t="inlineStr">
        <is>
          <t>2026年5月21日</t>
        </is>
      </c>
      <c r="B19" s="10" t="inlineStr">
        <is>
          <t>Aurora MySQL 8.4 が一般提供。コミュニティ 8.4.7 互換。</t>
        </is>
      </c>
      <c r="C19" s="10" t="inlineStr">
        <is>
          <t>利用中の系統。version 3（8.0互換）ではない。</t>
        </is>
      </c>
      <c r="D19" s="10" t="inlineStr">
        <is>
          <t>AWS の告知。</t>
        </is>
      </c>
    </row>
    <row r="20" ht="40" customHeight="1">
      <c r="A20" s="9" t="inlineStr">
        <is>
          <t>2026年9月3日</t>
        </is>
      </c>
      <c r="B20" s="11" t="inlineStr">
        <is>
          <t>Aurora MySQL 8.4.8。コミュニティ 8.4.8 互換。</t>
        </is>
      </c>
      <c r="C20" s="11" t="inlineStr">
        <is>
          <t>aurora_transaction_timeout はここから。8.4.7には無い。</t>
        </is>
      </c>
      <c r="D20" s="11" t="inlineStr">
        <is>
          <t>リリースノート。</t>
        </is>
      </c>
    </row>
    <row r="21" ht="40" customHeight="1">
      <c r="A21" s="14" t="inlineStr">
        <is>
          <t>まだ無いもの</t>
        </is>
      </c>
      <c r="B21" s="14" t="inlineStr">
        <is>
          <t>50を選んだ設計メモ、Heikki の「なぜ50か」、2001年ソースの定数。</t>
        </is>
      </c>
      <c r="C21" s="14" t="inlineStr">
        <is>
          <t>別の初期既定だった、という差分も無い。否定は、ソースを見るまでは完了しない。</t>
        </is>
      </c>
      <c r="D21" s="14" t="inlineStr">
        <is>
          <t>無い、と書くこと自体が調査結果。</t>
        </is>
      </c>
    </row>
    <row r="22"/>
    <row r="23" ht="36" customHeight="1">
      <c r="A23" s="15" t="inlineStr">
        <is>
          <t>調査日 2026-10-08。50秒と120秒を同じ負荷で比べた公開の測定は無い。測定と書いていない数字は、仕組みから出した天井である。</t>
        </is>
      </c>
    </row>
  </sheetData>
  <autoFilter ref="A4:D21"/>
  <mergeCells count="3">
    <mergeCell ref="A1:D1"/>
    <mergeCell ref="A23:D23"/>
    <mergeCell ref="A2:D2"/>
  </mergeCells>
  <printOptions horizontalCentered="1"/>
  <pageMargins left="0.45" right="0.45" top="0.72" bottom="0.55" header="0.26" footer="0.26"/>
  <pageSetup orientation="landscape" paperSize="9" fitToHeight="0" fitToWidth="1" pageOrder="downThenOver"/>
  <headerFooter>
    <oddHeader>&amp;L&amp;"Meiryo UI"&amp;9 &amp;K595959Aurora MySQL 8.4.7   innodb_lock_wait_timeout&amp;R&amp;"Meiryo UI"&amp;9 &amp;K595959歴史と背景</oddHeader>
    <oddFooter>&amp;L&amp;"Meiryo UI"&amp;8 &amp;K595959調査日 2026-10-08    測定ではなく機構の説明    Meiryo UI / モノトーン&amp;R&amp;"Meiryo UI"&amp;8 &amp;K595959&amp;P / &amp;N</oddFooter>
    <evenHeader/>
    <evenFooter/>
    <firstHeader/>
    <firstFooter/>
  </headerFooter>
</worksheet>
</file>

<file path=xl/worksheets/sheet8.xml><?xml version="1.0" encoding="utf-8"?>
<worksheet xmlns="http://schemas.openxmlformats.org/spreadsheetml/2006/main">
  <sheetPr>
    <tabColor rgb="007A7A7A"/>
    <outlinePr summaryBelow="1" summaryRight="1"/>
    <pageSetUpPr fitToPage="1"/>
  </sheetPr>
  <dimension ref="A1:D12"/>
  <sheetViews>
    <sheetView showGridLines="0" showRowColHeaders="1" view="normal" zoomScale="110" workbookViewId="0">
      <pane ySplit="4" topLeftCell="A5" activePane="bottomLeft" state="frozen"/>
      <selection pane="bottomLeft" activeCell="A1" sqref="A1"/>
    </sheetView>
  </sheetViews>
  <sheetFormatPr baseColWidth="8" defaultRowHeight="18"/>
  <cols>
    <col width="24" customWidth="1" min="1" max="1"/>
    <col width="55" customWidth="1" min="2" max="2"/>
    <col width="50" customWidth="1" min="3" max="3"/>
    <col width="38" customWidth="1" min="4" max="4"/>
  </cols>
  <sheetData>
    <row r="1" ht="42" customHeight="1">
      <c r="A1" s="1" t="inlineStr">
        <is>
          <t>メリットが実体を持つのは、正当な保持が50秒より長く、120秒以内のときだけ</t>
        </is>
      </c>
      <c r="B1" s="2" t="n"/>
      <c r="C1" s="2" t="n"/>
      <c r="D1" s="2" t="n"/>
    </row>
    <row r="2" ht="46" customHeight="1">
      <c r="A2" s="3" t="inlineStr">
        <is>
          <t>マニュアルが上げてよいと書くのは、ほかの大きな INSERT や UPDATE の完了を待つバックエンドである。グローバルに上げて1205の件数を消す話ではない。</t>
        </is>
      </c>
      <c r="B2" s="4" t="n"/>
      <c r="C2" s="4" t="n"/>
      <c r="D2" s="4" t="n"/>
    </row>
    <row r="3" ht="10" customHeight="1">
      <c r="A3" s="5" t="n"/>
    </row>
    <row r="4" ht="28" customHeight="1">
      <c r="A4" s="8" t="inlineStr">
        <is>
          <t>メリット</t>
        </is>
      </c>
      <c r="B4" s="8" t="inlineStr">
        <is>
          <t>仕組み</t>
        </is>
      </c>
      <c r="C4" s="8" t="inlineStr">
        <is>
          <t>成り立つ条件</t>
        </is>
      </c>
      <c r="D4" s="8" t="inlineStr">
        <is>
          <t>成り立たないとき</t>
        </is>
      </c>
    </row>
    <row r="5" ht="40" customHeight="1">
      <c r="A5" s="13" t="inlineStr">
        <is>
          <t>その帯の1205が減る</t>
        </is>
      </c>
      <c r="B5" s="13" t="inlineStr">
        <is>
          <t>相手が80秒で必ず COMMIT するなら、50では失敗、120では80秒目に成功し得る。</t>
        </is>
      </c>
      <c r="C5" s="13" t="inlineStr">
        <is>
          <t>保持の裾を測っていて、50秒超かつ120秒以内である。</t>
        </is>
      </c>
      <c r="D5" s="13" t="inlineStr">
        <is>
          <t>相手が戻らない。失敗が120秒にずれるだけ。</t>
        </is>
      </c>
    </row>
    <row r="6" ht="40" customHeight="1">
      <c r="A6" s="9" t="inlineStr">
        <is>
          <t>バッチが大きな更新を待てる</t>
        </is>
      </c>
      <c r="B6" s="11" t="inlineStr">
        <is>
          <t>ウェアハウスの変換段が、ほかの大きな書き込みの完了を待つ、とマニュアルが書く場面。</t>
        </is>
      </c>
      <c r="C6" s="11" t="inlineStr">
        <is>
          <t>その処理自身が正当で、呼び出し側のタイムアウトが120秒より長い。</t>
        </is>
      </c>
      <c r="D6" s="11" t="inlineStr">
        <is>
          <t>対話 API の奥。利用者は先に離脱する。</t>
        </is>
      </c>
    </row>
    <row r="7" ht="40" customHeight="1">
      <c r="A7" s="9" t="inlineStr">
        <is>
          <t>気づく窓が少し広がる</t>
        </is>
      </c>
      <c r="B7" s="10" t="inlineStr">
        <is>
          <t>50秒から120秒のあいだに終わる相手なら、整える時間も長い。</t>
        </is>
      </c>
      <c r="C7" s="10" t="inlineStr">
        <is>
          <t>その窓のあいだに、人が見て手を打てる運用がある。</t>
        </is>
      </c>
      <c r="D7" s="10" t="inlineStr">
        <is>
          <t>相手が眠ったまま。同じ窓は被害の延長。</t>
        </is>
      </c>
    </row>
    <row r="8" ht="40" customHeight="1">
      <c r="A8" s="9" t="inlineStr">
        <is>
          <t>セッションだけで上げられる</t>
        </is>
      </c>
      <c r="B8" s="11" t="inlineStr">
        <is>
          <t>SET SESSION はその接続だけ。OLTP は50以下のままにできる。</t>
        </is>
      </c>
      <c r="C8" s="11" t="inlineStr">
        <is>
          <t>バッチと OLTP の接続が分かれている。Proxy のピン留めを確認済み。</t>
        </is>
      </c>
      <c r="D8" s="11" t="inlineStr">
        <is>
          <t>初期化クエリに入れると、全部の接続が120になる。</t>
        </is>
      </c>
    </row>
    <row r="9" ht="40" customHeight="1">
      <c r="A9" s="9" t="inlineStr">
        <is>
          <t>例の82秒への当てはめ</t>
        </is>
      </c>
      <c r="B9" s="10" t="inlineStr">
        <is>
          <t>AWS の行ロック待ちの解説に、82秒生きている取引に SELECT FOR UPDATE がブロックされる例がある。</t>
        </is>
      </c>
      <c r="C9" s="10" t="inlineStr">
        <is>
          <t>相手が82秒で本当に終わるなら、天井120では成功し得る。</t>
        </is>
      </c>
      <c r="D9" s="10" t="inlineStr">
        <is>
          <t>AWS が50と120を測った結果ではない。</t>
        </is>
      </c>
    </row>
    <row r="10" ht="40" customHeight="1">
      <c r="A10" s="14" t="inlineStr">
        <is>
          <t>速くならないもの</t>
        </is>
      </c>
      <c r="B10" s="14" t="inlineStr">
        <is>
          <t>ブロッカーの SQL、デッドロック検出、メタデータロック、パージ、リーダーの読み取り容量。</t>
        </is>
      </c>
      <c r="C10" s="14" t="inlineStr">
        <is>
          <t>これらを120秒の効果として数えない。</t>
        </is>
      </c>
      <c r="D10" s="14" t="inlineStr">
        <is>
          <t>リーダー追加や ACU の CPU で、行ロックの列は短くならない。</t>
        </is>
      </c>
    </row>
    <row r="11"/>
    <row r="12" ht="36" customHeight="1">
      <c r="A12" s="15" t="inlineStr">
        <is>
          <t>調査日 2026-10-08。50秒と120秒を同じ負荷で比べた公開の測定は無い。測定と書いていない数字は、仕組みから出した天井である。</t>
        </is>
      </c>
    </row>
  </sheetData>
  <autoFilter ref="A4:D10"/>
  <mergeCells count="3">
    <mergeCell ref="A1:D1"/>
    <mergeCell ref="A12:D12"/>
    <mergeCell ref="A2:D2"/>
  </mergeCells>
  <printOptions horizontalCentered="1"/>
  <pageMargins left="0.45" right="0.45" top="0.72" bottom="0.55" header="0.26" footer="0.26"/>
  <pageSetup orientation="landscape" paperSize="9" fitToHeight="0" fitToWidth="1" pageOrder="downThenOver"/>
  <headerFooter>
    <oddHeader>&amp;L&amp;"Meiryo UI"&amp;9 &amp;K595959Aurora MySQL 8.4.7   innodb_lock_wait_timeout&amp;R&amp;"Meiryo UI"&amp;9 &amp;K595959メリット</oddHeader>
    <oddFooter>&amp;L&amp;"Meiryo UI"&amp;8 &amp;K595959調査日 2026-10-08    測定ではなく機構の説明    Meiryo UI / モノトーン&amp;R&amp;"Meiryo UI"&amp;8 &amp;K595959&amp;P / &amp;N</oddFooter>
    <evenHeader/>
    <evenFooter/>
    <firstHeader/>
    <firstFooter/>
  </headerFooter>
</worksheet>
</file>

<file path=xl/worksheets/sheet9.xml><?xml version="1.0" encoding="utf-8"?>
<worksheet xmlns="http://schemas.openxmlformats.org/spreadsheetml/2006/main">
  <sheetPr>
    <tabColor rgb="00333333"/>
    <outlinePr summaryBelow="1" summaryRight="1"/>
    <pageSetUpPr fitToPage="1"/>
  </sheetPr>
  <dimension ref="A1:D18"/>
  <sheetViews>
    <sheetView showGridLines="0" showRowColHeaders="1" view="normal" zoomScale="110" workbookViewId="0">
      <pane ySplit="4" topLeftCell="A5" activePane="bottomLeft" state="frozen"/>
      <selection pane="bottomLeft" activeCell="A1" sqref="A1"/>
    </sheetView>
  </sheetViews>
  <sheetFormatPr baseColWidth="8" defaultRowHeight="18"/>
  <cols>
    <col width="28" customWidth="1" min="1" max="1"/>
    <col width="58" customWidth="1" min="2" max="2"/>
    <col width="50" customWidth="1" min="3" max="3"/>
    <col width="32" customWidth="1" min="4" max="4"/>
  </cols>
  <sheetData>
    <row r="1" ht="42" customHeight="1">
      <c r="A1" s="1" t="inlineStr">
        <is>
          <t>相手が放さないとき、同じ70秒が裏返る</t>
        </is>
      </c>
      <c r="B1" s="2" t="n"/>
      <c r="C1" s="2" t="n"/>
      <c r="D1" s="2" t="n"/>
    </row>
    <row r="2" ht="46" customHeight="1">
      <c r="A2" s="3" t="inlineStr">
        <is>
          <t>利用者は最大約120秒座ってから失敗する。前段が60秒や29秒なら、利用者は先に失敗し、データベースの待ちだけが残る。</t>
        </is>
      </c>
      <c r="B2" s="4" t="n"/>
      <c r="C2" s="4" t="n"/>
      <c r="D2" s="4" t="n"/>
    </row>
    <row r="3" ht="10" customHeight="1">
      <c r="A3" s="5" t="n"/>
    </row>
    <row r="4" ht="28" customHeight="1">
      <c r="A4" s="8" t="inlineStr">
        <is>
          <t>デメリット</t>
        </is>
      </c>
      <c r="B4" s="8" t="inlineStr">
        <is>
          <t>何が起きるか</t>
        </is>
      </c>
      <c r="C4" s="8" t="inlineStr">
        <is>
          <t>なぜ120秒で重くなるか</t>
        </is>
      </c>
      <c r="D4" s="8" t="inlineStr">
        <is>
          <t>先に見ること</t>
        </is>
      </c>
    </row>
    <row r="5" ht="40" customHeight="1">
      <c r="A5" s="13" t="inlineStr">
        <is>
          <t>待ちの裾が伸びる</t>
        </is>
      </c>
      <c r="B5" s="13" t="inlineStr">
        <is>
          <t>失敗するリクエストが、約120秒座ってから1205になる。</t>
        </is>
      </c>
      <c r="C5" s="13" t="inlineStr">
        <is>
          <t>50秒なら約50秒で失敗が返る。対話では、遅く失敗する方が体験として悪いことが多い。</t>
        </is>
      </c>
      <c r="D5" s="13" t="inlineStr">
        <is>
          <t>その API の待ち時間の目標</t>
        </is>
      </c>
    </row>
    <row r="6" ht="56" customHeight="1">
      <c r="A6" s="13" t="inlineStr">
        <is>
          <t>呼び出し側が先に死ぬ</t>
        </is>
      </c>
      <c r="B6" s="13" t="inlineStr">
        <is>
          <t>ALB の無通信は既定60秒。API Gateway REST は既定29秒。Lambda の Timeout 既定は3秒。</t>
        </is>
      </c>
      <c r="C6" s="13" t="inlineStr">
        <is>
          <t>DB だけ120秒にすると、切れたあとも MySQL が待ち続ける段差が生まれる。即時に待ちが中断される、とはマニュアルは書いていない。</t>
        </is>
      </c>
      <c r="D6" s="13" t="inlineStr">
        <is>
          <t>経路上の最短タイムアウト</t>
        </is>
      </c>
    </row>
    <row r="7" ht="40" customHeight="1">
      <c r="A7" s="9" t="inlineStr">
        <is>
          <t>席が長くふさがる</t>
        </is>
      </c>
      <c r="B7" s="10" t="inlineStr">
        <is>
          <t>待ちはクエリ実行中ではない。それでも接続1本と、スレッドのメモリは使う。</t>
        </is>
      </c>
      <c r="C7" s="10" t="inlineStr">
        <is>
          <t>放置なら1本あたり最大70秒長い。200本の仮定では14000接続秒。観測ではない。</t>
        </is>
      </c>
      <c r="D7" s="10" t="inlineStr">
        <is>
          <t>プールの空きと max_connections</t>
        </is>
      </c>
    </row>
    <row r="8" ht="40" customHeight="1">
      <c r="A8" s="9" t="inlineStr">
        <is>
          <t>先行ロックが第三者を止める</t>
        </is>
      </c>
      <c r="B8" s="11" t="inlineStr">
        <is>
          <t>待ちに入る前に更新した行のロックは、取引が開いているあいだ残る。</t>
        </is>
      </c>
      <c r="C8" s="11" t="inlineStr">
        <is>
          <t>諦めるのが70秒遅いと、その鉛筆も70秒長く第三者を止める。</t>
        </is>
      </c>
      <c r="D8" s="11" t="inlineStr">
        <is>
          <t>待ち側の trx_rows_locked</t>
        </is>
      </c>
    </row>
    <row r="9" ht="40" customHeight="1">
      <c r="A9" s="9" t="inlineStr">
        <is>
          <t>隙間が長く閉じる</t>
        </is>
      </c>
      <c r="B9" s="10" t="inlineStr">
        <is>
          <t>ネクストキーは、見えない挿入も拒む。</t>
        </is>
      </c>
      <c r="C9" s="10" t="inlineStr">
        <is>
          <t>余分な待ちのあいだ、範囲への INSERT が止まり続ける。</t>
        </is>
      </c>
      <c r="D9" s="10" t="inlineStr">
        <is>
          <t>ロックの種類が RECORD だけか</t>
        </is>
      </c>
    </row>
    <row r="10" ht="40" customHeight="1">
      <c r="A10" s="9" t="inlineStr">
        <is>
          <t>再試行が雪だるまになる</t>
        </is>
      </c>
      <c r="B10" s="11" t="inlineStr">
        <is>
          <t>同じロックの待ち人が、ほぼ同時に天井へ達する。</t>
        </is>
      </c>
      <c r="C10" s="11" t="inlineStr">
        <is>
          <t>すぐやり直すと、同じ本数が戻る。120秒は1回の占有が長く、50秒は失敗回数が多い。</t>
        </is>
      </c>
      <c r="D10" s="11" t="inlineStr">
        <is>
          <t>アプリが文だけを再試行していないか</t>
        </is>
      </c>
    </row>
    <row r="11" ht="40" customHeight="1">
      <c r="A11" s="9" t="inlineStr">
        <is>
          <t>障害が見えにくくなる</t>
        </is>
      </c>
      <c r="B11" s="10" t="inlineStr">
        <is>
          <t>1205の件数が減る。</t>
        </is>
      </c>
      <c r="C11" s="10" t="inlineStr">
        <is>
          <t>50秒で切れていた待ちが数えられなくなる。time_max の山は120000ミリ秒まで許される。</t>
        </is>
      </c>
      <c r="D11" s="10" t="inlineStr">
        <is>
          <t>時間の最大と、プールの失敗</t>
        </is>
      </c>
    </row>
    <row r="12" ht="40" customHeight="1">
      <c r="A12" s="9" t="inlineStr">
        <is>
          <t>COMMIT 漏れが長く生きる</t>
        </is>
      </c>
      <c r="B12" s="11" t="inlineStr">
        <is>
          <t>取引の途中で入力を待つ実装や、開きっぱなし。</t>
        </is>
      </c>
      <c r="C12" s="11" t="inlineStr">
        <is>
          <t>50秒なら待ち側がそこで例外を上げる。120秒では同じ欠陥が70秒長く接続を握る。</t>
        </is>
      </c>
      <c r="D12" s="11" t="inlineStr">
        <is>
          <t>Sleep のまま年齢が数十秒の取引</t>
        </is>
      </c>
    </row>
    <row r="13" ht="40" customHeight="1">
      <c r="A13" s="9" t="inlineStr">
        <is>
          <t>半分戻った取引の開始が遅れる</t>
        </is>
      </c>
      <c r="B13" s="10" t="inlineStr">
        <is>
          <t>既定では1205のあと取引は開いたまま。</t>
        </is>
      </c>
      <c r="C13" s="10" t="inlineStr">
        <is>
          <t>危険な状態が始まるのが70秒遅い。そのあいだ後ろが積もる。</t>
        </is>
      </c>
      <c r="D13" s="10" t="inlineStr">
        <is>
          <t>1205のハンドラが ROLLBACK するか</t>
        </is>
      </c>
    </row>
    <row r="14" ht="56" customHeight="1">
      <c r="A14" s="9" t="inlineStr">
        <is>
          <t>フェイルオーバーと重なる</t>
        </is>
      </c>
      <c r="B14" s="11" t="inlineStr">
        <is>
          <t>レプリカありの復旧は通常60秒未満、しばしば30秒未満。</t>
        </is>
      </c>
      <c r="C14" s="11" t="inlineStr">
        <is>
          <t>重なる上限が伸び、失敗は1205ではなく接続エラーに見える。フェイルオーバー自体が失敗する、という意味ではない。</t>
        </is>
      </c>
      <c r="D14" s="11" t="inlineStr">
        <is>
          <t>復旧時間と待ちの重なり</t>
        </is>
      </c>
    </row>
    <row r="15" ht="40" customHeight="1">
      <c r="A15" s="9" t="inlineStr">
        <is>
          <t>MDL は直らない</t>
        </is>
      </c>
      <c r="B15" s="10" t="inlineStr">
        <is>
          <t>ALTER やパーティション交換の待ちは別ベル。</t>
        </is>
      </c>
      <c r="C15" s="10" t="inlineStr">
        <is>
          <t>120にしても目録の列は動かない。誤診で上げると、行ロック側の滞留だけが増える。</t>
        </is>
      </c>
      <c r="D15" s="10" t="inlineStr">
        <is>
          <t>metadata_locks に待ちがいるか</t>
        </is>
      </c>
    </row>
    <row r="16" ht="56" customHeight="1">
      <c r="A16" s="14" t="inlineStr">
        <is>
          <t>スケールの推論</t>
        </is>
      </c>
      <c r="B16" s="14" t="inlineStr">
        <is>
          <t>Serverless v2 の入力は CPU、メモリ、ネットワーク。接続数そのものは条件として書かれていない。</t>
        </is>
      </c>
      <c r="C16" s="14" t="inlineStr">
        <is>
          <t>滞留が最大2.4倍になるとメモリを押し、スケールアップまたはスケールイン遅延はあり得る。AWS の測定値ではない。</t>
        </is>
      </c>
      <c r="D16" s="14" t="inlineStr">
        <is>
          <t>ACUUtilization と DatabaseConnections</t>
        </is>
      </c>
    </row>
    <row r="17"/>
    <row r="18" ht="36" customHeight="1">
      <c r="A18" s="15" t="inlineStr">
        <is>
          <t>調査日 2026-10-08。50秒と120秒を同じ負荷で比べた公開の測定は無い。測定と書いていない数字は、仕組みから出した天井である。</t>
        </is>
      </c>
    </row>
  </sheetData>
  <autoFilter ref="A4:D16"/>
  <mergeCells count="3">
    <mergeCell ref="A1:D1"/>
    <mergeCell ref="A18:D18"/>
    <mergeCell ref="A2:D2"/>
  </mergeCells>
  <printOptions horizontalCentered="1"/>
  <pageMargins left="0.45" right="0.45" top="0.72" bottom="0.55" header="0.26" footer="0.26"/>
  <pageSetup orientation="landscape" paperSize="9" fitToHeight="0" fitToWidth="1" pageOrder="downThenOver"/>
  <headerFooter>
    <oddHeader>&amp;L&amp;"Meiryo UI"&amp;9 &amp;K595959Aurora MySQL 8.4.7   innodb_lock_wait_timeout&amp;R&amp;"Meiryo UI"&amp;9 &amp;K595959デメリット</oddHeader>
    <oddFooter>&amp;L&amp;"Meiryo UI"&amp;8 &amp;K595959調査日 2026-10-08    測定ではなく機構の説明    Meiryo UI / モノトーン&amp;R&amp;"Meiryo UI"&amp;8 &amp;K595959&amp;P / &amp;N</oddFooter>
    <evenHeader/>
    <evenFooter/>
    <firstHeader/>
    <firstFooter/>
  </headerFooter>
</worksheet>
</file>

<file path=xl/worksheets/sheet10.xml><?xml version="1.0" encoding="utf-8"?>
<worksheet xmlns="http://schemas.openxmlformats.org/spreadsheetml/2006/main">
  <sheetPr>
    <tabColor rgb="002B2B2B"/>
    <outlinePr summaryBelow="1" summaryRight="1"/>
    <pageSetUpPr fitToPage="1"/>
  </sheetPr>
  <dimension ref="A1:D20"/>
  <sheetViews>
    <sheetView showGridLines="0" showRowColHeaders="1" view="normal" zoomScale="110" workbookViewId="0">
      <pane ySplit="4" topLeftCell="A5" activePane="bottomLeft" state="frozen"/>
      <selection pane="bottomLeft" activeCell="A1" sqref="A1"/>
    </sheetView>
  </sheetViews>
  <sheetFormatPr baseColWidth="8" defaultRowHeight="18"/>
  <cols>
    <col width="30" customWidth="1" min="1" max="1"/>
    <col width="52" customWidth="1" min="2" max="2"/>
    <col width="52" customWidth="1" min="3" max="3"/>
    <col width="34" customWidth="1" min="4" max="4"/>
  </cols>
  <sheetData>
    <row r="1" ht="42" customHeight="1">
      <c r="A1" s="1" t="inlineStr">
        <is>
          <t>8.4.7 は、待つ人のベルを伸ばしても、持つ人の寿命を切れない</t>
        </is>
      </c>
      <c r="B1" s="2" t="n"/>
      <c r="C1" s="2" t="n"/>
      <c r="D1" s="2" t="n"/>
    </row>
    <row r="2" ht="46" customHeight="1">
      <c r="A2" s="3" t="inlineStr">
        <is>
          <t>Aurora MySQL version 8.4 は、version 3（MySQL 8.0 互換）ではない。8.4.7 の一般提供は2026年5月21日。aurora_transaction_timeout は8.4.8（2026年9月3日）から。</t>
        </is>
      </c>
      <c r="B2" s="4" t="n"/>
      <c r="C2" s="4" t="n"/>
      <c r="D2" s="4" t="n"/>
    </row>
    <row r="3" ht="10" customHeight="1">
      <c r="A3" s="5" t="n"/>
    </row>
    <row r="4" ht="28" customHeight="1">
      <c r="A4" s="8" t="inlineStr">
        <is>
          <t>話題</t>
        </is>
      </c>
      <c r="B4" s="8" t="inlineStr">
        <is>
          <t>8.4.7 で言えること</t>
        </is>
      </c>
      <c r="C4" s="8" t="inlineStr">
        <is>
          <t>120秒との関係</t>
        </is>
      </c>
      <c r="D4" s="8" t="inlineStr">
        <is>
          <t>まだ確かでないこと</t>
        </is>
      </c>
    </row>
    <row r="5" ht="40" customHeight="1">
      <c r="A5" s="9" t="inlineStr">
        <is>
          <t>系統</t>
        </is>
      </c>
      <c r="B5" s="10" t="inlineStr">
        <is>
          <t>version 2 が5.7、version 3 が8.0、version 8.4 が8.4互換。</t>
        </is>
      </c>
      <c r="C5" s="10" t="inlineStr">
        <is>
          <t>コミュニティ既定の話を、version 3 のパラメータページへそのまま重ねない。</t>
        </is>
      </c>
      <c r="D5" s="10" t="inlineStr">
        <is>
          <t>8.4.7 のパラメータ族の名前は、容量ページだけでは断定できない。</t>
        </is>
      </c>
    </row>
    <row r="6" ht="56" customHeight="1">
      <c r="A6" s="13" t="inlineStr">
        <is>
          <t>持つ人を切るレバー</t>
        </is>
      </c>
      <c r="B6" s="13" t="inlineStr">
        <is>
          <t>aurora_transaction_timeout は8.4.8以上。既定0で無効。</t>
        </is>
      </c>
      <c r="C6" s="13" t="inlineStr">
        <is>
          <t>行ロック待ちは待つ人の今の文。トランザクションタイムアウトは、持つ人を含む開いた取引の年齢。対象が逆。</t>
        </is>
      </c>
      <c r="D6" s="13" t="inlineStr">
        <is>
          <t>8.4.7 では、アイドルなブロッカーをこの仕組みでは切れない。</t>
        </is>
      </c>
    </row>
    <row r="7" ht="56" customHeight="1">
      <c r="A7" s="9" t="inlineStr">
        <is>
          <t>そのレバーの動き</t>
        </is>
      </c>
      <c r="B7" s="10" t="inlineStr">
        <is>
          <t>最初の InnoDB 文で時計が始まる。BEGIN だけでは始まらない。期限でロールバック。アイドルなら接続を切る。エラーは63952。</t>
        </is>
      </c>
      <c r="C7" s="10" t="inlineStr">
        <is>
          <t>8.4.8以上で有効値が120未満なら、待つ人が120秒待つ前に持つ人が消えることがある。既定0では起きない。</t>
        </is>
      </c>
      <c r="D7" s="10" t="inlineStr">
        <is>
          <t>XA PREPARE 済みと write forwarding は対象外。</t>
        </is>
      </c>
    </row>
    <row r="8" ht="40" customHeight="1">
      <c r="A8" s="9" t="inlineStr">
        <is>
          <t>パラメータの場所</t>
        </is>
      </c>
      <c r="B8" s="11" t="inlineStr">
        <is>
          <t>一覧ではインスタンスの DB パラメータグループ。Modifiable は Yes。注記 None。</t>
        </is>
      </c>
      <c r="C8" s="11" t="inlineStr">
        <is>
          <t>クラスター側ではない。リーダーだけ変えても、ライターの DML 待ちには効かない。</t>
        </is>
      </c>
      <c r="D8" s="11" t="inlineStr">
        <is>
          <t>前文は version 2 と3向け。8.4.7の明示行は無い。</t>
        </is>
      </c>
    </row>
    <row r="9" ht="56" customHeight="1">
      <c r="A9" s="9" t="inlineStr">
        <is>
          <t>既定値</t>
        </is>
      </c>
      <c r="B9" s="10" t="inlineStr">
        <is>
          <t>コミュニティは50。</t>
        </is>
      </c>
      <c r="C9" s="10" t="inlineStr">
        <is>
          <t>注記 None は、Aurora 固有の上書き説明が無い、と読める。</t>
        </is>
      </c>
      <c r="D9" s="10" t="inlineStr">
        <is>
          <t>Aurora が既定50と明言したページは無い。API の Engine default は未取得。</t>
        </is>
      </c>
    </row>
    <row r="10" ht="40" customHeight="1">
      <c r="A10" s="9" t="inlineStr">
        <is>
          <t>SET の効き方</t>
        </is>
      </c>
      <c r="B10" s="11" t="inlineStr">
        <is>
          <t>コミュニティでは SESSION はその接続、GLOBAL は新規接続だけ。</t>
        </is>
      </c>
      <c r="C10" s="11" t="inlineStr">
        <is>
          <t>再起動後に残す正規の場所はパラメータグループ、と読むのが一般運用と合う。</t>
        </is>
      </c>
      <c r="D10" s="11" t="inlineStr">
        <is>
          <t>この行の Apply type と、SET PERSIST の可否は未確認。</t>
        </is>
      </c>
    </row>
    <row r="11" ht="40" customHeight="1">
      <c r="A11" s="9" t="inlineStr">
        <is>
          <t>Serverless が上書きしない</t>
        </is>
      </c>
      <c r="B11" s="10" t="inlineStr">
        <is>
          <t>自分で変えるのは buffer pool、purge threads、definition cache、open cache の四つ。</t>
        </is>
      </c>
      <c r="C11" s="10" t="inlineStr">
        <is>
          <t>このタイムアウトはその四つに無い。</t>
        </is>
      </c>
      <c r="D11" s="10" t="inlineStr">
        <is>
          <t>8.4.7 で同じ四つかは、容量ページの版注記に依存する。</t>
        </is>
      </c>
    </row>
    <row r="12" ht="56" customHeight="1">
      <c r="A12" s="13" t="inlineStr">
        <is>
          <t>リーダー</t>
        </is>
      </c>
      <c r="B12" s="13" t="inlineStr">
        <is>
          <t>変更はプライマリだけ。リーダーは読み取り。最大15レプリカ、という説明は Serverless にも当てはまると注記がある。</t>
        </is>
      </c>
      <c r="C12" s="13" t="inlineStr">
        <is>
          <t>一貫性読み取りは逃がせる。UPDATE や FOR UPDATE の行ロックはライターのまま。</t>
        </is>
      </c>
      <c r="D12" s="13" t="inlineStr">
        <is>
          <t>リーダー上の FOR UPDATE が即エラーか、転送されるかは未確認。</t>
        </is>
      </c>
    </row>
    <row r="13" ht="40" customHeight="1">
      <c r="A13" s="9" t="inlineStr">
        <is>
          <t>スケール入力</t>
        </is>
      </c>
      <c r="B13" s="10" t="inlineStr">
        <is>
          <t>CPU、メモリ、ネットワーク。接続数は条件として書かれていない。1 ACU は約2GiB。</t>
        </is>
      </c>
      <c r="C13" s="10" t="inlineStr">
        <is>
          <t>待ちの途中で ACU が変わっても、そのことだけでは1205にならない。スケールは進行中の操作を切らない。</t>
        </is>
      </c>
      <c r="D13" s="10" t="inlineStr">
        <is>
          <t>待ちが CPU を使わない、とは AWS は書いていない。</t>
        </is>
      </c>
    </row>
    <row r="14" ht="40" customHeight="1">
      <c r="A14" s="9" t="inlineStr">
        <is>
          <t>接続の上限</t>
        </is>
      </c>
      <c r="B14" s="11" t="inlineStr">
        <is>
          <t>max_connections は最大 ACU から換算し、スケールダウンしても一定。表は1 ACUで90、8で1000、256で6000。</t>
        </is>
      </c>
      <c r="C14" s="11" t="inlineStr">
        <is>
          <t>120秒にしても枠は増えない。滞留が増えて1040に近づく方向。</t>
        </is>
      </c>
      <c r="D14" s="11" t="inlineStr">
        <is>
          <t>閉じた代数式は、取得した英語ページに無い。</t>
        </is>
      </c>
    </row>
    <row r="15" ht="56" customHeight="1">
      <c r="A15" s="9" t="inlineStr">
        <is>
          <t>履歴リスト</t>
        </is>
      </c>
      <c r="B15" s="10" t="inlineStr">
        <is>
          <t>同じボリュームなので、掃除はクラスター全体の問題。数分以上開いた取引を調査対象にする、とハンドブックは書く。</t>
        </is>
      </c>
      <c r="C15" s="10" t="inlineStr">
        <is>
          <t>このパラメータは持つ人の undo 時間を縮めない。純粋な待ち自身の undo は小さい。</t>
        </is>
      </c>
      <c r="D15" s="10" t="inlineStr">
        <is>
          <t>単発の120秒が危険域にする、とは言えない。</t>
        </is>
      </c>
    </row>
    <row r="16" ht="40" customHeight="1">
      <c r="A16" s="9" t="inlineStr">
        <is>
          <t>フェイルオーバー</t>
        </is>
      </c>
      <c r="B16" s="11" t="inlineStr">
        <is>
          <t>レプリカありなら通常60秒未満、しばしば30秒未満。レプリカなしで新プライマリなら通常10分未満。</t>
        </is>
      </c>
      <c r="C16" s="11" t="inlineStr">
        <is>
          <t>120秒待ちは、短い復旧とは重なり得る。長い復旧よりは短いこともある。</t>
        </is>
      </c>
      <c r="D16" s="11" t="inlineStr">
        <is>
          <t>フェイルオーバー瞬間にタイマーがリセットされるかは未記載。</t>
        </is>
      </c>
    </row>
    <row r="17" ht="40" customHeight="1">
      <c r="A17" s="9" t="inlineStr">
        <is>
          <t>RDS Proxy</t>
        </is>
      </c>
      <c r="B17" s="10" t="inlineStr">
        <is>
          <t>ConnectionBorrowTimeout の既定は120秒。SET は原則ピン留め。</t>
        </is>
      </c>
      <c r="C17" s="10" t="inlineStr">
        <is>
          <t>セッションだけ120、が多重化を壊すかもしれない。初期化クエリに入れると全員120。</t>
        </is>
      </c>
      <c r="D17" s="10" t="inlineStr">
        <is>
          <t>この変数が追跡リストに含まれるかは抜粋では未確認。</t>
        </is>
      </c>
    </row>
    <row r="18" ht="40" customHeight="1">
      <c r="A18" s="14" t="inlineStr">
        <is>
          <t>0 ACU</t>
        </is>
      </c>
      <c r="B18" s="14" t="inlineStr">
        <is>
          <t>自動ポーズの対象として書かれているのは Aurora MySQL 3.08以降、接続が無い状態のあと。</t>
        </is>
      </c>
      <c r="C18" s="14" t="inlineStr">
        <is>
          <t>開いた待ち接続があるかぎり、休止の条件には入らない、と読む。</t>
        </is>
      </c>
      <c r="D18" s="14" t="inlineStr">
        <is>
          <t>8.4.7 の最小0 ACU が同じ条件かは断定できない。</t>
        </is>
      </c>
    </row>
    <row r="19"/>
    <row r="20" ht="36" customHeight="1">
      <c r="A20" s="15" t="inlineStr">
        <is>
          <t>調査日 2026-10-08。50秒と120秒を同じ負荷で比べた公開の測定は無い。測定と書いていない数字は、仕組みから出した天井である。</t>
        </is>
      </c>
    </row>
  </sheetData>
  <autoFilter ref="A4:D18"/>
  <mergeCells count="3">
    <mergeCell ref="A1:D1"/>
    <mergeCell ref="A20:D20"/>
    <mergeCell ref="A2:D2"/>
  </mergeCells>
  <printOptions horizontalCentered="1"/>
  <pageMargins left="0.45" right="0.45" top="0.72" bottom="0.55" header="0.26" footer="0.26"/>
  <pageSetup orientation="landscape" paperSize="9" fitToHeight="0" fitToWidth="1" pageOrder="downThenOver"/>
  <headerFooter>
    <oddHeader>&amp;L&amp;"Meiryo UI"&amp;9 &amp;K595959Aurora MySQL 8.4.7   innodb_lock_wait_timeout&amp;R&amp;"Meiryo UI"&amp;9 &amp;K595959Aurora Serverless v2</oddHeader>
    <oddFooter>&amp;L&amp;"Meiryo UI"&amp;8 &amp;K595959調査日 2026-10-08    測定ではなく機構の説明    Meiryo UI / モノトーン&amp;R&amp;"Meiryo UI"&amp;8 &amp;K595959&amp;P / &amp;N</oddFooter>
    <evenHeader/>
    <evenFooter/>
    <firstHeader/>
    <firstFooter/>
  </headerFooter>
</worksheet>
</file>

<file path=xl/worksheets/sheet11.xml><?xml version="1.0" encoding="utf-8"?>
<worksheet xmlns="http://schemas.openxmlformats.org/spreadsheetml/2006/main">
  <sheetPr>
    <tabColor rgb="00454545"/>
    <outlinePr summaryBelow="1" summaryRight="1"/>
    <pageSetUpPr fitToPage="1"/>
  </sheetPr>
  <dimension ref="A1:D18"/>
  <sheetViews>
    <sheetView showGridLines="0" showRowColHeaders="1" view="normal" zoomScale="110" workbookViewId="0">
      <pane ySplit="4" topLeftCell="A5" activePane="bottomLeft" state="frozen"/>
      <selection pane="bottomLeft" activeCell="A1" sqref="A1"/>
    </sheetView>
  </sheetViews>
  <sheetFormatPr baseColWidth="8" defaultRowHeight="18"/>
  <cols>
    <col width="28" customWidth="1" min="1" max="1"/>
    <col width="42" customWidth="1" min="2" max="2"/>
    <col width="42" customWidth="1" min="3" max="3"/>
    <col width="50" customWidth="1" min="4" max="4"/>
  </cols>
  <sheetData>
    <row r="1" ht="42" customHeight="1">
      <c r="A1" s="1" t="inlineStr">
        <is>
          <t>1205は今の一文だけ消え、1213は取引を丸ごと消す</t>
        </is>
      </c>
      <c r="B1" s="2" t="n"/>
      <c r="C1" s="2" t="n"/>
      <c r="D1" s="2" t="n"/>
    </row>
    <row r="2" ht="46" customHeight="1">
      <c r="A2" s="3" t="inlineStr">
        <is>
          <t>既定の innodb_rollback_on_timeout は OFF。Global のみ。動的ではない。ON にするには起動オプションと再起動。SQLSTATE だけを見ると、1205の HY000 を取りこぼす。</t>
        </is>
      </c>
      <c r="B2" s="4" t="n"/>
      <c r="C2" s="4" t="n"/>
      <c r="D2" s="4" t="n"/>
    </row>
    <row r="3" ht="10" customHeight="1">
      <c r="A3" s="5" t="n"/>
    </row>
    <row r="4" ht="28" customHeight="1">
      <c r="A4" s="8" t="inlineStr">
        <is>
          <t>比べるもの</t>
        </is>
      </c>
      <c r="B4" s="8" t="inlineStr">
        <is>
          <t>ロック待ち 1205</t>
        </is>
      </c>
      <c r="C4" s="8" t="inlineStr">
        <is>
          <t>デッドロック 1213</t>
        </is>
      </c>
      <c r="D4" s="8" t="inlineStr">
        <is>
          <t>アプリがすべきこと</t>
        </is>
      </c>
    </row>
    <row r="5" ht="40" customHeight="1">
      <c r="A5" s="9" t="inlineStr">
        <is>
          <t>シンボル</t>
        </is>
      </c>
      <c r="B5" s="10" t="inlineStr">
        <is>
          <t>ER_LOCK_WAIT_TIMEOUT</t>
        </is>
      </c>
      <c r="C5" s="10" t="inlineStr">
        <is>
          <t>ER_LOCK_DEADLOCK</t>
        </is>
      </c>
      <c r="D5" s="10" t="inlineStr">
        <is>
          <t>番号で分ける。メッセージの再試行という語は両方にある。</t>
        </is>
      </c>
    </row>
    <row r="6" ht="24" customHeight="1">
      <c r="A6" s="9" t="inlineStr">
        <is>
          <t>SQLSTATE</t>
        </is>
      </c>
      <c r="B6" s="11" t="inlineStr">
        <is>
          <t>HY000（汎用）</t>
        </is>
      </c>
      <c r="C6" s="11" t="inlineStr">
        <is>
          <t>40001</t>
        </is>
      </c>
      <c r="D6" s="11" t="inlineStr">
        <is>
          <t>SQLSTATE だけの再試行は、1205を落とす。</t>
        </is>
      </c>
    </row>
    <row r="7" ht="40" customHeight="1">
      <c r="A7" s="9" t="inlineStr">
        <is>
          <t>メッセージ</t>
        </is>
      </c>
      <c r="B7" s="10" t="inlineStr">
        <is>
          <t>Lock wait timeout exceeded; try restarting transaction</t>
        </is>
      </c>
      <c r="C7" s="10" t="inlineStr">
        <is>
          <t>Deadlock found when trying to get lock; try restarting transaction</t>
        </is>
      </c>
      <c r="D7" s="10" t="inlineStr">
        <is>
          <t>文言が似ているので、番号を見る。</t>
        </is>
      </c>
    </row>
    <row r="8" ht="40" customHeight="1">
      <c r="A8" s="13" t="inlineStr">
        <is>
          <t>既定で戻る範囲</t>
        </is>
      </c>
      <c r="B8" s="13" t="inlineStr">
        <is>
          <t>待っていた文だけ。取引は開いたまま。</t>
        </is>
      </c>
      <c r="C8" s="13" t="inlineStr">
        <is>
          <t>トランザクション全体。</t>
        </is>
      </c>
      <c r="D8" s="13" t="inlineStr">
        <is>
          <t>1205でも、仕事の単位としては全体を ROLLBACK してからやり直す方が原子性に合う。</t>
        </is>
      </c>
    </row>
    <row r="9" ht="40" customHeight="1">
      <c r="A9" s="9" t="inlineStr">
        <is>
          <t>ベルとの関係</t>
        </is>
      </c>
      <c r="B9" s="10" t="inlineStr">
        <is>
          <t>innodb_lock_wait_timeout そのもの。</t>
        </is>
      </c>
      <c r="C9" s="10" t="inlineStr">
        <is>
          <t>検出がオンなら、ベルを待たない。</t>
        </is>
      </c>
      <c r="D9" s="10" t="inlineStr">
        <is>
          <t>検出オフのとき、輪も1205側へ寄る。公式の組み合わせ試験は未確認。</t>
        </is>
      </c>
    </row>
    <row r="10" ht="40" customHeight="1">
      <c r="A10" s="9" t="inlineStr">
        <is>
          <t>先に成功した UPDATE</t>
        </is>
      </c>
      <c r="B10" s="11" t="inlineStr">
        <is>
          <t>OFF のままなら残り、その後の COMMIT で表に書かれ得る。</t>
        </is>
      </c>
      <c r="C10" s="11" t="inlineStr">
        <is>
          <t>全体が戻るので残らない。</t>
        </is>
      </c>
      <c r="D10" s="11" t="inlineStr">
        <is>
          <t>1205を無視して COMMIT しない。</t>
        </is>
      </c>
    </row>
    <row r="11" ht="40" customHeight="1">
      <c r="A11" s="9" t="inlineStr">
        <is>
          <t>接続プール</t>
        </is>
      </c>
      <c r="B11" s="10" t="inlineStr">
        <is>
          <t>返却前に ROLLBACK しないと、次の借り主が開いた取引とロックを引き継ぎ得る。</t>
        </is>
      </c>
      <c r="C11" s="10" t="inlineStr">
        <is>
          <t>全体が戻ったあとも、接続の状態はアプリが閉じる。</t>
        </is>
      </c>
      <c r="D11" s="10" t="inlineStr">
        <is>
          <t>プール返却の前に、必ず取引を終わらせる。</t>
        </is>
      </c>
    </row>
    <row r="12" ht="40" customHeight="1">
      <c r="A12" s="9" t="inlineStr">
        <is>
          <t>autocommit=1</t>
        </is>
      </c>
      <c r="B12" s="11" t="inlineStr">
        <is>
          <t>文が取引そのものなので、文のロールバックで単位は閉じる。</t>
        </is>
      </c>
      <c r="C12" s="11" t="inlineStr">
        <is>
          <t>全体のロールバックと結果は一致しやすい。</t>
        </is>
      </c>
      <c r="D12" s="11" t="inlineStr">
        <is>
          <t>複数文を一つの仕事にしているときほど、1205が危険。</t>
        </is>
      </c>
    </row>
    <row r="13" ht="40" customHeight="1">
      <c r="A13" s="9" t="inlineStr">
        <is>
          <t>先行ロック</t>
        </is>
      </c>
      <c r="B13" s="10" t="inlineStr">
        <is>
          <t>失敗した文より前に取ったロックは残る、と2005年の制約から読める。</t>
        </is>
      </c>
      <c r="C13" s="10" t="inlineStr">
        <is>
          <t>取引ごと捨てるので、ロックも落ちる。</t>
        </is>
      </c>
      <c r="D13" s="10" t="inlineStr">
        <is>
          <t>文だけ再試行すると、残ったロックと二重の変更が共存し得る。</t>
        </is>
      </c>
    </row>
    <row r="14" ht="56" customHeight="1">
      <c r="A14" s="9" t="inlineStr">
        <is>
          <t>同じ番号の別人</t>
        </is>
      </c>
      <c r="B14" s="11" t="inlineStr">
        <is>
          <t>メタデータロックの lock_wait_timeout が尽きても、番号も SQLSTATE もメッセージも同じ1205。</t>
        </is>
      </c>
      <c r="C14" s="11" t="inlineStr">
        <is>
          <t>1213はデッドロック側。</t>
        </is>
      </c>
      <c r="D14" s="11" t="inlineStr">
        <is>
          <t>data_lock_waits と metadata_locks で分ける。</t>
        </is>
      </c>
    </row>
    <row r="15" ht="40" customHeight="1">
      <c r="A15" s="9" t="inlineStr">
        <is>
          <t>ON にした場合</t>
        </is>
      </c>
      <c r="B15" s="10" t="inlineStr">
        <is>
          <t>タイムアウトで取引全体を中断して戻す。再起動が要る。</t>
        </is>
      </c>
      <c r="C15" s="10" t="inlineStr">
        <is>
          <t>デッドロックは元から全体。</t>
        </is>
      </c>
      <c r="D15" s="10" t="inlineStr">
        <is>
          <t>ON でも、アプリが全体を ROLLBACK する方が設定に依存しない。</t>
        </is>
      </c>
    </row>
    <row r="16" ht="40" customHeight="1">
      <c r="A16" s="14" t="inlineStr">
        <is>
          <t>マニュアルの「文を再試行」</t>
        </is>
      </c>
      <c r="B16" s="14" t="inlineStr">
        <is>
          <t>同じ開いた取引の中で、戻った文だけをやり直す、と読める。</t>
        </is>
      </c>
      <c r="C16" s="14" t="inlineStr">
        <is>
          <t>先の文の変更は生きている。全部なかったことにはならない。</t>
        </is>
      </c>
      <c r="D16" s="14" t="inlineStr">
        <is>
          <t>業務が原子性を求めるなら、マニュアルの最短手順より一段強く戻す。</t>
        </is>
      </c>
    </row>
    <row r="17"/>
    <row r="18" ht="36" customHeight="1">
      <c r="A18" s="15" t="inlineStr">
        <is>
          <t>調査日 2026-10-08。50秒と120秒を同じ負荷で比べた公開の測定は無い。測定と書いていない数字は、仕組みから出した天井である。</t>
        </is>
      </c>
    </row>
  </sheetData>
  <autoFilter ref="A4:D16"/>
  <mergeCells count="3">
    <mergeCell ref="A1:D1"/>
    <mergeCell ref="A18:D18"/>
    <mergeCell ref="A2:D2"/>
  </mergeCells>
  <printOptions horizontalCentered="1"/>
  <pageMargins left="0.45" right="0.45" top="0.72" bottom="0.55" header="0.26" footer="0.26"/>
  <pageSetup orientation="landscape" paperSize="9" fitToHeight="0" fitToWidth="1" pageOrder="downThenOver"/>
  <headerFooter>
    <oddHeader>&amp;L&amp;"Meiryo UI"&amp;9 &amp;K595959Aurora MySQL 8.4.7   innodb_lock_wait_timeout&amp;R&amp;"Meiryo UI"&amp;9 &amp;K5959591205と1213</oddHeader>
    <oddFooter>&amp;L&amp;"Meiryo UI"&amp;8 &amp;K595959調査日 2026-10-08    測定ではなく機構の説明    Meiryo UI / モノトーン&amp;R&amp;"Meiryo UI"&amp;8 &amp;K595959&amp;P / &amp;N</oddFooter>
    <evenHeader/>
    <evenFooter/>
    <firstHeader/>
    <firstFooter/>
  </headerFooter>
</worksheet>
</file>

<file path=xl/worksheets/sheet12.xml><?xml version="1.0" encoding="utf-8"?>
<worksheet xmlns="http://schemas.openxmlformats.org/spreadsheetml/2006/main">
  <sheetPr>
    <tabColor rgb="003F3F3F"/>
    <outlinePr summaryBelow="1" summaryRight="1"/>
    <pageSetUpPr fitToPage="1"/>
  </sheetPr>
  <dimension ref="A1:D18"/>
  <sheetViews>
    <sheetView showGridLines="0" showRowColHeaders="1" view="normal" zoomScale="110" workbookViewId="0">
      <pane ySplit="4" topLeftCell="A5" activePane="bottomLeft" state="frozen"/>
      <selection pane="bottomLeft" activeCell="A1" sqref="A1"/>
    </sheetView>
  </sheetViews>
  <sheetFormatPr baseColWidth="8" defaultRowHeight="18"/>
  <cols>
    <col width="34" customWidth="1" min="1" max="1"/>
    <col width="22" customWidth="1" min="2" max="2"/>
    <col width="28" customWidth="1" min="3" max="3"/>
    <col width="55" customWidth="1" min="4" max="4"/>
  </cols>
  <sheetData>
    <row r="1" ht="42" customHeight="1">
      <c r="A1" s="1" t="inlineStr">
        <is>
          <t>行ロックのベルは、経路の中の一つの時計にすぎない</t>
        </is>
      </c>
      <c r="B1" s="2" t="n"/>
      <c r="C1" s="2" t="n"/>
      <c r="D1" s="2" t="n"/>
    </row>
    <row r="2" ht="46" customHeight="1">
      <c r="A2" s="3" t="inlineStr">
        <is>
          <t>データベースを120秒にしても、より短い時計が前段にあれば、利用者はそこ切れる。確認した既定は2026年10月時点のドキュメント。</t>
        </is>
      </c>
      <c r="B2" s="4" t="n"/>
      <c r="C2" s="4" t="n"/>
      <c r="D2" s="4" t="n"/>
    </row>
    <row r="3" ht="10" customHeight="1">
      <c r="A3" s="5" t="n"/>
    </row>
    <row r="4" ht="28" customHeight="1">
      <c r="A4" s="8" t="inlineStr">
        <is>
          <t>時計</t>
        </is>
      </c>
      <c r="B4" s="8" t="inlineStr">
        <is>
          <t>既定</t>
        </is>
      </c>
      <c r="C4" s="8" t="inlineStr">
        <is>
          <t>何を数えるか</t>
        </is>
      </c>
      <c r="D4" s="8" t="inlineStr">
        <is>
          <t>120秒の行ロック待ちとの関係</t>
        </is>
      </c>
    </row>
    <row r="5" ht="40" customHeight="1">
      <c r="A5" s="13" t="inlineStr">
        <is>
          <t>innodb_lock_wait_timeout</t>
        </is>
      </c>
      <c r="B5" s="13" t="inlineStr">
        <is>
          <t>50秒</t>
        </is>
      </c>
      <c r="C5" s="13" t="inlineStr">
        <is>
          <t>InnoDB の行ロックで止まっている時間</t>
        </is>
      </c>
      <c r="D5" s="13" t="inlineStr">
        <is>
          <t>ここを120にする、という変更そのもの</t>
        </is>
      </c>
    </row>
    <row r="6" ht="40" customHeight="1">
      <c r="A6" s="9" t="inlineStr">
        <is>
          <t>lock_wait_timeout</t>
        </is>
      </c>
      <c r="B6" s="11" t="inlineStr">
        <is>
          <t>31536000秒（1年）</t>
        </is>
      </c>
      <c r="C6" s="11" t="inlineStr">
        <is>
          <t>メタデータロックの試行</t>
        </is>
      </c>
      <c r="D6" s="11" t="inlineStr">
        <is>
          <t>ALTER や LOCK TABLES。120にしても動かない。エラー番号は同じ1205</t>
        </is>
      </c>
    </row>
    <row r="7" ht="24" customHeight="1">
      <c r="A7" s="9" t="inlineStr">
        <is>
          <t>innodb_rollback_on_timeout</t>
        </is>
      </c>
      <c r="B7" s="10" t="inlineStr">
        <is>
          <t>OFF</t>
        </is>
      </c>
      <c r="C7" s="10" t="inlineStr">
        <is>
          <t>1205のとき全体を戻すか</t>
        </is>
      </c>
      <c r="D7" s="10" t="inlineStr">
        <is>
          <t>秒数ではない。OFF のままでは文だけ戻る。再起動が要る</t>
        </is>
      </c>
    </row>
    <row r="8" ht="40" customHeight="1">
      <c r="A8" s="9" t="inlineStr">
        <is>
          <t>innodb_deadlock_detect</t>
        </is>
      </c>
      <c r="B8" s="11" t="inlineStr">
        <is>
          <t>ON</t>
        </is>
      </c>
      <c r="C8" s="11" t="inlineStr">
        <is>
          <t>待ちの輪を探すか</t>
        </is>
      </c>
      <c r="D8" s="11" t="inlineStr">
        <is>
          <t>ON なら輪はこのベルを待たない。OFF にすると輪も最大120秒</t>
        </is>
      </c>
    </row>
    <row r="9" ht="40" customHeight="1">
      <c r="A9" s="9" t="inlineStr">
        <is>
          <t>wait_timeout / interactive_timeout</t>
        </is>
      </c>
      <c r="B9" s="10" t="inlineStr">
        <is>
          <t>既定はどちらも28800秒（8時間）</t>
        </is>
      </c>
      <c r="C9" s="10" t="inlineStr">
        <is>
          <t>何もしていない接続を、いつ切るか</t>
        </is>
      </c>
      <c r="D9" s="10" t="inlineStr">
        <is>
          <t>ロック待ちの秒数ではない。混ぜない</t>
        </is>
      </c>
    </row>
    <row r="10" ht="40" customHeight="1">
      <c r="A10" s="9" t="inlineStr">
        <is>
          <t>aurora_transaction_timeout</t>
        </is>
      </c>
      <c r="B10" s="11" t="inlineStr">
        <is>
          <t>0（無効）。8.4.8以上だけ</t>
        </is>
      </c>
      <c r="C10" s="11" t="inlineStr">
        <is>
          <t>開いた InnoDB 取引の年齢</t>
        </is>
      </c>
      <c r="D10" s="11" t="inlineStr">
        <is>
          <t>8.4.7には無い。持つ人を切る側</t>
        </is>
      </c>
    </row>
    <row r="11" ht="56" customHeight="1">
      <c r="A11" s="13" t="inlineStr">
        <is>
          <t>ALB の無通信</t>
        </is>
      </c>
      <c r="B11" s="13" t="inlineStr">
        <is>
          <t>60秒（1〜4000秒）</t>
        </is>
      </c>
      <c r="C11" s="13" t="inlineStr">
        <is>
          <t>既存接続でデータが流れない時間。リクエスト全体の上限ではない</t>
        </is>
      </c>
      <c r="D11" s="13" t="inlineStr">
        <is>
          <t>待ちのあいだ1バイトも返さないと、約60秒で閉じ得る。ステータスが必ず504とは書いていない</t>
        </is>
      </c>
    </row>
    <row r="12" ht="40" customHeight="1">
      <c r="A12" s="13" t="inlineStr">
        <is>
          <t>API Gateway REST 統合</t>
        </is>
      </c>
      <c r="B12" s="13" t="inlineStr">
        <is>
          <t>29秒</t>
        </is>
      </c>
      <c r="C12" s="13" t="inlineStr">
        <is>
          <t>統合の応答を待つ時間。超過で HTTP 504</t>
        </is>
      </c>
      <c r="D12" s="13" t="inlineStr">
        <is>
          <t>エッジ最適化は29秒を超えられない。Regional とプライベートは条件つきで伸ばせる</t>
        </is>
      </c>
    </row>
    <row r="13" ht="40" customHeight="1">
      <c r="A13" s="9" t="inlineStr">
        <is>
          <t>Lambda Timeout</t>
        </is>
      </c>
      <c r="B13" s="10" t="inlineStr">
        <is>
          <t>3秒。同期の上限は900秒</t>
        </is>
      </c>
      <c r="C13" s="10" t="inlineStr">
        <is>
          <t>関数の実行時間</t>
        </is>
      </c>
      <c r="D13" s="10" t="inlineStr">
        <is>
          <t>既定のままでは120秒の DB 待ちは成立しない。伸ばすと同時実行と課金が積む</t>
        </is>
      </c>
    </row>
    <row r="14" ht="40" customHeight="1">
      <c r="A14" s="9" t="inlineStr">
        <is>
          <t>RDS Proxy の借り出し</t>
        </is>
      </c>
      <c r="B14" s="11" t="inlineStr">
        <is>
          <t>120秒（0〜300秒）</t>
        </is>
      </c>
      <c r="C14" s="11" t="inlineStr">
        <is>
          <t>プールが全部使用中のとき、空きを待つ時間</t>
        </is>
      </c>
      <c r="D14" s="11" t="inlineStr">
        <is>
          <t>借りたあとの SQL がさらに120秒待つと、利用者から見ると足し算に近づく</t>
        </is>
      </c>
    </row>
    <row r="15" ht="56" customHeight="1">
      <c r="A15" s="9" t="inlineStr">
        <is>
          <t>Aurora のフェイルオーバー</t>
        </is>
      </c>
      <c r="B15" s="10" t="inlineStr">
        <is>
          <t>レプリカありは通常60秒未満、しばしば30秒未満</t>
        </is>
      </c>
      <c r="C15" s="10" t="inlineStr">
        <is>
          <t>新しいライターへ移るまでの読み書き不能</t>
        </is>
      </c>
      <c r="D15" s="10" t="inlineStr">
        <is>
          <t>120秒の待ちは、この窓と重なり得る。接続エラーとして見える</t>
        </is>
      </c>
    </row>
    <row r="16" ht="56" customHeight="1">
      <c r="A16" s="14" t="inlineStr">
        <is>
          <t>アプリのクエリタイムアウト</t>
        </is>
      </c>
      <c r="B16" s="14" t="inlineStr">
        <is>
          <t>製品ごとに違う。JDBC の queryTimeout など</t>
        </is>
      </c>
      <c r="C16" s="14" t="inlineStr">
        <is>
          <t>クライアントが文を諦める秒</t>
        </is>
      </c>
      <c r="D16" s="14" t="inlineStr">
        <is>
          <t>DB より短ければ、クライアントが死んだあともサーバ側の待ちが残り得る。実験記録は無い</t>
        </is>
      </c>
    </row>
    <row r="17"/>
    <row r="18" ht="36" customHeight="1">
      <c r="A18" s="15" t="inlineStr">
        <is>
          <t>調査日 2026-10-08。50秒と120秒を同じ負荷で比べた公開の測定は無い。測定と書いていない数字は、仕組みから出した天井である。</t>
        </is>
      </c>
    </row>
  </sheetData>
  <autoFilter ref="A4:D16"/>
  <mergeCells count="3">
    <mergeCell ref="A1:D1"/>
    <mergeCell ref="A18:D18"/>
    <mergeCell ref="A2:D2"/>
  </mergeCells>
  <printOptions horizontalCentered="1"/>
  <pageMargins left="0.45" right="0.45" top="0.72" bottom="0.55" header="0.26" footer="0.26"/>
  <pageSetup orientation="landscape" paperSize="9" fitToHeight="0" fitToWidth="1" pageOrder="downThenOver"/>
  <headerFooter>
    <oddHeader>&amp;L&amp;"Meiryo UI"&amp;9 &amp;K595959Aurora MySQL 8.4.7   innodb_lock_wait_timeout&amp;R&amp;"Meiryo UI"&amp;9 &amp;K595959ほかの制限時間</oddHeader>
    <oddFooter>&amp;L&amp;"Meiryo UI"&amp;8 &amp;K595959調査日 2026-10-08    測定ではなく機構の説明    Meiryo UI / モノトーン&amp;R&amp;"Meiryo UI"&amp;8 &amp;K595959&amp;P / &amp;N</oddFooter>
    <evenHeader/>
    <evenFooter/>
    <firstHeader/>
    <firstFooter/>
  </headerFooter>
</worksheet>
</file>

<file path=xl/worksheets/sheet13.xml><?xml version="1.0" encoding="utf-8"?>
<worksheet xmlns="http://schemas.openxmlformats.org/spreadsheetml/2006/main">
  <sheetPr>
    <tabColor rgb="00525252"/>
    <outlinePr summaryBelow="1" summaryRight="1"/>
    <pageSetUpPr fitToPage="1"/>
  </sheetPr>
  <dimension ref="A1:C17"/>
  <sheetViews>
    <sheetView showGridLines="0" showRowColHeaders="1" view="normal" zoomScale="110" workbookViewId="0">
      <pane ySplit="4" topLeftCell="A5" activePane="bottomLeft" state="frozen"/>
      <selection pane="bottomLeft" activeCell="A1" sqref="A1"/>
    </sheetView>
  </sheetViews>
  <sheetFormatPr baseColWidth="8" defaultRowHeight="18"/>
  <cols>
    <col width="28" customWidth="1" min="1" max="1"/>
    <col width="62" customWidth="1" min="2" max="2"/>
    <col width="48" customWidth="1" min="3" max="3"/>
  </cols>
  <sheetData>
    <row r="1" ht="42" customHeight="1">
      <c r="A1" s="1" t="inlineStr">
        <is>
          <t>グローバルに上げて1205を消す前に、セッションを分ける</t>
        </is>
      </c>
      <c r="B1" s="2" t="n"/>
      <c r="C1" s="2" t="n"/>
    </row>
    <row r="2" ht="46" customHeight="1">
      <c r="A2" s="3" t="inlineStr">
        <is>
          <t>公式は、対話の OLTP では下げ、長いバックエンドでは上げてよい、と両方書く。5〜10秒が正しい中央値だ、という測定はこの調査には無い。</t>
        </is>
      </c>
      <c r="B2" s="4" t="n"/>
      <c r="C2" s="4" t="n"/>
    </row>
    <row r="3" ht="10" customHeight="1">
      <c r="A3" s="5" t="n"/>
    </row>
    <row r="4" ht="28" customHeight="1">
      <c r="A4" s="8" t="inlineStr">
        <is>
          <t>判断</t>
        </is>
      </c>
      <c r="B4" s="8" t="inlineStr">
        <is>
          <t>条件</t>
        </is>
      </c>
      <c r="C4" s="8" t="inlineStr">
        <is>
          <t>外れたときの読み</t>
        </is>
      </c>
    </row>
    <row r="5" ht="40" customHeight="1">
      <c r="A5" s="13" t="inlineStr">
        <is>
          <t>測った裾が帯の中にある</t>
        </is>
      </c>
      <c r="B5" s="13" t="inlineStr">
        <is>
          <t>正当なロック保持が50秒より長く、120秒より短い、と測っている。</t>
        </is>
      </c>
      <c r="C5" s="13" t="inlineStr">
        <is>
          <t>この調査はその測定を持っていない。持つまで、このクラスターで妥当とは決められない。</t>
        </is>
      </c>
    </row>
    <row r="6" ht="40" customHeight="1">
      <c r="A6" s="13" t="inlineStr">
        <is>
          <t>上げるのはバッチのセッションだけ</t>
        </is>
      </c>
      <c r="B6" s="13" t="inlineStr">
        <is>
          <t>OLTP の接続は50以下のまま。公式は OLTP で下げることさえ勧める。</t>
        </is>
      </c>
      <c r="C6" s="13" t="inlineStr">
        <is>
          <t>グローバル120は、対話の失敗を120秒へずらす。</t>
        </is>
      </c>
    </row>
    <row r="7" ht="40" customHeight="1">
      <c r="A7" s="13" t="inlineStr">
        <is>
          <t>経路の時計がすべて120より長い</t>
        </is>
      </c>
      <c r="B7" s="13" t="inlineStr">
        <is>
          <t>ALB を通すなら無通信60秒を延ばすか、待ちのあいだバイトを返す。API Gateway 既定29秒の同期 API では成立しない。</t>
        </is>
      </c>
      <c r="C7" s="13" t="inlineStr">
        <is>
          <t>利用者は先に失敗し、接続だけが残る。</t>
        </is>
      </c>
    </row>
    <row r="8" ht="40" customHeight="1">
      <c r="A8" s="9" t="inlineStr">
        <is>
          <t>プールに空きがある</t>
        </is>
      </c>
      <c r="B8" s="11" t="inlineStr">
        <is>
          <t>待ち本数 × 最大120秒でも、借り出しが枯れない。</t>
        </is>
      </c>
      <c r="C8" s="11" t="inlineStr">
        <is>
          <t>上限付近なら、70秒の追加占有で新しい OLTP が借りられない。</t>
        </is>
      </c>
    </row>
    <row r="9" ht="40" customHeight="1">
      <c r="A9" s="9" t="inlineStr">
        <is>
          <t>Proxy をセットで見る</t>
        </is>
      </c>
      <c r="B9" s="10" t="inlineStr">
        <is>
          <t>借り出しタイムアウトと、この SET がピン留めするかを確認する。</t>
        </is>
      </c>
      <c r="C9" s="10" t="inlineStr">
        <is>
          <t>セッション分離が、多重化を壊しているかもしれない。</t>
        </is>
      </c>
    </row>
    <row r="10" ht="40" customHeight="1">
      <c r="A10" s="9" t="inlineStr">
        <is>
          <t>1205で全体を戻す</t>
        </is>
      </c>
      <c r="B10" s="11" t="inlineStr">
        <is>
          <t>取引全体を ROLLBACK し、仕事の単位を、時刻をばらしてやり直す。</t>
        </is>
      </c>
      <c r="C10" s="11" t="inlineStr">
        <is>
          <t>文だけ再試行すると、残った変更とロックが残る。ばらす秒数の測定は無い。</t>
        </is>
      </c>
    </row>
    <row r="11" ht="24" customHeight="1">
      <c r="A11" s="13" t="inlineStr">
        <is>
          <t>害: 件数を減らしたいだけ</t>
        </is>
      </c>
      <c r="B11" s="13" t="inlineStr">
        <is>
          <t>対話 API のグローバル値を上げて、1205を減らしたい。</t>
        </is>
      </c>
      <c r="C11" s="13" t="inlineStr">
        <is>
          <t>見えなくしただけで、持つ人は戻っていない。</t>
        </is>
      </c>
    </row>
    <row r="12" ht="24" customHeight="1">
      <c r="A12" s="13" t="inlineStr">
        <is>
          <t>害: 前段が60秒以下</t>
        </is>
      </c>
      <c r="B12" s="13" t="inlineStr">
        <is>
          <t>ALB 既定、API 既定、短いゲートウェイのまま。</t>
        </is>
      </c>
      <c r="C12" s="13" t="inlineStr">
        <is>
          <t>DB の120秒は、死んだリクエストの席を延長する。</t>
        </is>
      </c>
    </row>
    <row r="13" ht="40" customHeight="1">
      <c r="A13" s="9" t="inlineStr">
        <is>
          <t>害: アイドル取引が既にいる</t>
        </is>
      </c>
      <c r="B13" s="10" t="inlineStr">
        <is>
          <t>Sleep のまま数十秒、COMMIT 漏れ、入力待ちを取引の中でしている。</t>
        </is>
      </c>
      <c r="C13" s="10" t="inlineStr">
        <is>
          <t>天井を上げると、その欠陥が70秒長く本番の接続を握る。</t>
        </is>
      </c>
    </row>
    <row r="14" ht="24" customHeight="1">
      <c r="A14" s="9" t="inlineStr">
        <is>
          <t>害: 検出を切っている</t>
        </is>
      </c>
      <c r="B14" s="11" t="inlineStr">
        <is>
          <t>innodb_deadlock_detect がオフ。</t>
        </is>
      </c>
      <c r="C14" s="11" t="inlineStr">
        <is>
          <t>本当の輪の解消まで、最大約120秒になり得る。</t>
        </is>
      </c>
    </row>
    <row r="15" ht="40" customHeight="1">
      <c r="A15" s="14" t="inlineStr">
        <is>
          <t>SET GLOBAL の時間差</t>
        </is>
      </c>
      <c r="B15" s="14" t="inlineStr">
        <is>
          <t>後続の新規接続にだけ効く。</t>
        </is>
      </c>
      <c r="C15" s="14" t="inlineStr">
        <is>
          <t>上げた直後、既存の OLTP にはまだ50が残る。パラメータグループ反映のタイミングも別で確認する。</t>
        </is>
      </c>
    </row>
    <row r="16"/>
    <row r="17" ht="36" customHeight="1">
      <c r="A17" s="15" t="inlineStr">
        <is>
          <t>調査日 2026-10-08。50秒と120秒を同じ負荷で比べた公開の測定は無い。測定と書いていない数字は、仕組みから出した天井である。</t>
        </is>
      </c>
    </row>
  </sheetData>
  <autoFilter ref="A4:C15"/>
  <mergeCells count="3">
    <mergeCell ref="A1:C1"/>
    <mergeCell ref="A2:C2"/>
    <mergeCell ref="A17:C17"/>
  </mergeCells>
  <printOptions horizontalCentered="1"/>
  <pageMargins left="0.45" right="0.45" top="0.72" bottom="0.55" header="0.26" footer="0.26"/>
  <pageSetup orientation="landscape" paperSize="9" fitToHeight="0" fitToWidth="1" pageOrder="downThenOver"/>
  <headerFooter>
    <oddHeader>&amp;L&amp;"Meiryo UI"&amp;9 &amp;K595959Aurora MySQL 8.4.7   innodb_lock_wait_timeout&amp;R&amp;"Meiryo UI"&amp;9 &amp;K595959判断の目安</oddHeader>
    <oddFooter>&amp;L&amp;"Meiryo UI"&amp;8 &amp;K595959調査日 2026-10-08    測定ではなく機構の説明    Meiryo UI / モノトーン&amp;R&amp;"Meiryo UI"&amp;8 &amp;K595959&amp;P / &amp;N</oddFooter>
    <evenHeader/>
    <evenFooter/>
    <firstHeader/>
    <firstFooter/>
  </headerFooter>
</worksheet>
</file>

<file path=xl/worksheets/sheet14.xml><?xml version="1.0" encoding="utf-8"?>
<worksheet xmlns="http://schemas.openxmlformats.org/spreadsheetml/2006/main">
  <sheetPr>
    <tabColor rgb="005A5A5A"/>
    <outlinePr summaryBelow="1" summaryRight="1"/>
    <pageSetUpPr fitToPage="1"/>
  </sheetPr>
  <dimension ref="A1:C25"/>
  <sheetViews>
    <sheetView showGridLines="0" showRowColHeaders="1" view="normal" zoomScale="110" workbookViewId="0">
      <pane ySplit="4" topLeftCell="A5" activePane="bottomLeft" state="frozen"/>
      <selection pane="bottomLeft" activeCell="A1" sqref="A1"/>
    </sheetView>
  </sheetViews>
  <sheetFormatPr baseColWidth="8" defaultRowHeight="18"/>
  <cols>
    <col width="38" customWidth="1" min="1" max="1"/>
    <col width="40" customWidth="1" min="2" max="2"/>
    <col width="50" customWidth="1" min="3" max="3"/>
  </cols>
  <sheetData>
    <row r="1" ht="42" customHeight="1">
      <c r="A1" s="1" t="inlineStr">
        <is>
          <t>1205の件数だけが減っても、ベルが遅れただけかもしれない</t>
        </is>
      </c>
      <c r="B1" s="2" t="n"/>
      <c r="C1" s="2" t="n"/>
    </row>
    <row r="2" ht="46" customHeight="1">
      <c r="A2" s="3" t="inlineStr">
        <is>
          <t>変更の前後で、時間、今の待ち、履歴リスト、ACU、接続、プールの失敗、前段の5xx を並べる。切る手順は書かない。ピーク中の無差別切断は、長いロールバックがあり得る。</t>
        </is>
      </c>
      <c r="B2" s="4" t="n"/>
      <c r="C2" s="4" t="n"/>
    </row>
    <row r="3" ht="10" customHeight="1">
      <c r="A3" s="5" t="n"/>
    </row>
    <row r="4" ht="28" customHeight="1">
      <c r="A4" s="8" t="inlineStr">
        <is>
          <t>見るもの</t>
        </is>
      </c>
      <c r="B4" s="8" t="inlineStr">
        <is>
          <t>単位と意味</t>
        </is>
      </c>
      <c r="C4" s="8" t="inlineStr">
        <is>
          <t>120秒にしたあとの読み方</t>
        </is>
      </c>
    </row>
    <row r="5" ht="40" customHeight="1">
      <c r="A5" s="9" t="inlineStr">
        <is>
          <t>ERROR 1205 の件数</t>
        </is>
      </c>
      <c r="B5" s="10" t="inlineStr">
        <is>
          <t>ロック待ち、またはメタデータ待ち。番号は同じ。</t>
        </is>
      </c>
      <c r="C5" s="10" t="inlineStr">
        <is>
          <t>減っていたら、時間と5xxも見る。件数だけなら、奥へずらした可能性がある。</t>
        </is>
      </c>
    </row>
    <row r="6" ht="24" customHeight="1">
      <c r="A6" s="9" t="inlineStr">
        <is>
          <t>Innodb_row_lock_current_waits</t>
        </is>
      </c>
      <c r="B6" s="11" t="inlineStr">
        <is>
          <t>今、行ロックを待っている数。</t>
        </is>
      </c>
      <c r="C6" s="11" t="inlineStr">
        <is>
          <t>天井が長くても、今の本数は減るとは限らない。</t>
        </is>
      </c>
    </row>
    <row r="7" ht="40" customHeight="1">
      <c r="A7" s="9" t="inlineStr">
        <is>
          <t>Innodb_row_lock_waits</t>
        </is>
      </c>
      <c r="B7" s="10" t="inlineStr">
        <is>
          <t>待ちが発生した回数。待たなかった取得は入らない、とソースからは読める。</t>
        </is>
      </c>
      <c r="C7" s="10" t="inlineStr">
        <is>
          <t>回数は、成功した長待ちも含み得る。</t>
        </is>
      </c>
    </row>
    <row r="8" ht="40" customHeight="1">
      <c r="A8" s="9" t="inlineStr">
        <is>
          <t>Innodb_row_lock_time</t>
        </is>
      </c>
      <c r="B8" s="11" t="inlineStr">
        <is>
          <t>ミリ秒。待った取得に費やした合計。</t>
        </is>
      </c>
      <c r="C8" s="11" t="inlineStr">
        <is>
          <t>1205が減って合計時間が増えるなら、待たせたまま成功させている。</t>
        </is>
      </c>
    </row>
    <row r="9" ht="24" customHeight="1">
      <c r="A9" s="9" t="inlineStr">
        <is>
          <t>Innodb_row_lock_time_avg</t>
        </is>
      </c>
      <c r="B9" s="10" t="inlineStr">
        <is>
          <t>ミリ秒。平均。</t>
        </is>
      </c>
      <c r="C9" s="10" t="inlineStr">
        <is>
          <t>裾が伸びると平均も伸び得る。</t>
        </is>
      </c>
    </row>
    <row r="10" ht="40" customHeight="1">
      <c r="A10" s="13" t="inlineStr">
        <is>
          <t>Innodb_row_lock_time_max</t>
        </is>
      </c>
      <c r="B10" s="13" t="inlineStr">
        <is>
          <t>ミリ秒。最大。50秒天井なら理論上50000付近、120秒なら120000付近まで許される。</t>
        </is>
      </c>
      <c r="C10" s="13" t="inlineStr">
        <is>
          <t>高水位が起動以降か、FLUSH STATUS で戻るかは、定義文には無い。</t>
        </is>
      </c>
    </row>
    <row r="11" ht="40" customHeight="1">
      <c r="A11" s="9" t="inlineStr">
        <is>
          <t>data_lock_waits</t>
        </is>
      </c>
      <c r="B11" s="10" t="inlineStr">
        <is>
          <t>待っている要求と、それを止めているロックの組。</t>
        </is>
      </c>
      <c r="C11" s="10" t="inlineStr">
        <is>
          <t>blocking の id が data_locks に無い行は、マニュアルが予告している競合条件。</t>
        </is>
      </c>
    </row>
    <row r="12" ht="40" customHeight="1">
      <c r="A12" s="9" t="inlineStr">
        <is>
          <t>data_locks</t>
        </is>
      </c>
      <c r="B12" s="11" t="inlineStr">
        <is>
          <t>保持中も、待ちも出す。8.0.1以降の窓。</t>
        </is>
      </c>
      <c r="C12" s="11" t="inlineStr">
        <is>
          <t>古い INNODB_LOCKS は、待っているロックだけだった。8.4の監視では使わない。</t>
        </is>
      </c>
    </row>
    <row r="13" ht="56" customHeight="1">
      <c r="A13" s="9" t="inlineStr">
        <is>
          <t>innodb_trx</t>
        </is>
      </c>
      <c r="B13" s="10" t="inlineStr">
        <is>
          <t>TRX_STATE が LOCK WAIT なら行ロック待ち。RUNNING、ROLLING BACK、COMMITTING もある。</t>
        </is>
      </c>
      <c r="C13" s="10" t="inlineStr">
        <is>
          <t>trx_started からの秒数が、持つ人の年齢。</t>
        </is>
      </c>
    </row>
    <row r="14" ht="40" customHeight="1">
      <c r="A14" s="9" t="inlineStr">
        <is>
          <t>sys.innodb_lock_waits</t>
        </is>
      </c>
      <c r="B14" s="11" t="inlineStr">
        <is>
          <t>wait_age_secs、待ちクエリ、ブロック側クエリ。</t>
        </is>
      </c>
      <c r="C14" s="11" t="inlineStr">
        <is>
          <t>ブロック側がアイドルだと blocking_query は NULL。</t>
        </is>
      </c>
    </row>
    <row r="15" ht="40" customHeight="1">
      <c r="A15" s="9" t="inlineStr">
        <is>
          <t>SHOW ENGINE INNODB STATUS</t>
        </is>
      </c>
      <c r="B15" s="10" t="inlineStr">
        <is>
          <t>LATEST DETECTED DEADLOCK は再起動以降の直近1件。</t>
        </is>
      </c>
      <c r="C15" s="10" t="inlineStr">
        <is>
          <t>デッドロック件数と、ロック待ちの天井を混ぜない。</t>
        </is>
      </c>
    </row>
    <row r="16" ht="40" customHeight="1">
      <c r="A16" s="9" t="inlineStr">
        <is>
          <t>RollbackSegmentHistoryListLength</t>
        </is>
      </c>
      <c r="B16" s="11" t="inlineStr">
        <is>
          <t>削除マークの undo。trx_rseg_history_len と同じ値だと AWS は書く。</t>
        </is>
      </c>
      <c r="C16" s="11" t="inlineStr">
        <is>
          <t>120秒そのもので危険域、とは言えない。数分以上開いた取引を見る。</t>
        </is>
      </c>
    </row>
    <row r="17" ht="40" customHeight="1">
      <c r="A17" s="9" t="inlineStr">
        <is>
          <t>ServerlessDatabaseCapacity / ACUUtilization</t>
        </is>
      </c>
      <c r="B17" s="10" t="inlineStr">
        <is>
          <t>今の ACU と、その使用率。</t>
        </is>
      </c>
      <c r="C17" s="10" t="inlineStr">
        <is>
          <t>待ちが増えたから必ず CPU でスケールする、とは言えない。メモリは入力である。</t>
        </is>
      </c>
    </row>
    <row r="18" ht="40" customHeight="1">
      <c r="A18" s="9" t="inlineStr">
        <is>
          <t>DatabaseConnections</t>
        </is>
      </c>
      <c r="B18" s="11" t="inlineStr">
        <is>
          <t>接続数。スケール条件としては書かれていない。</t>
        </is>
      </c>
      <c r="C18" s="11" t="inlineStr">
        <is>
          <t>枠は最大 ACU 基準で一定。滞留で1040に近づいていないかを見る。</t>
        </is>
      </c>
    </row>
    <row r="19" ht="40" customHeight="1">
      <c r="A19" s="13" t="inlineStr">
        <is>
          <t>プール失敗と前段の5xx</t>
        </is>
      </c>
      <c r="B19" s="13" t="inlineStr">
        <is>
          <t>アプリの借り出し失敗、ALB と API Gateway の5xx。</t>
        </is>
      </c>
      <c r="C19" s="13" t="inlineStr">
        <is>
          <t>1205だけ減ってこちらが増えるなら、タイムアウトを奥へずらしただけ。</t>
        </is>
      </c>
    </row>
    <row r="20" ht="56" customHeight="1">
      <c r="A20" s="14" t="inlineStr">
        <is>
          <t>版の注記</t>
        </is>
      </c>
      <c r="B20" s="14" t="inlineStr">
        <is>
          <t>row_lock_wait の詳細ページが対象に書くのは Aurora MySQL version 3 だけ、と確認した範囲ではそうである。</t>
        </is>
      </c>
      <c r="C20" s="14" t="inlineStr">
        <is>
          <t>row_lock_wait_cond と aurora_lock_thread_slot_futex の詳細は version 2 の注記のままなので、8.4の根拠に使わない。</t>
        </is>
      </c>
    </row>
    <row r="21" ht="56" customHeight="1">
      <c r="A21" s="14" t="inlineStr">
        <is>
          <t>8.4.8の変数</t>
        </is>
      </c>
      <c r="B21" s="14" t="inlineStr">
        <is>
          <t>Aurora_transaction_timeouts は8.4.8以上。アイドル切断はこのカウンタを増やさない、とページは書く。</t>
        </is>
      </c>
      <c r="C21" s="14" t="inlineStr">
        <is>
          <t>8.4.7の手順には入れない。</t>
        </is>
      </c>
    </row>
    <row r="22"/>
    <row r="23" ht="36" customHeight="1">
      <c r="A23" s="15" t="inlineStr">
        <is>
          <t>調査日 2026-10-08。50秒と120秒を同じ負荷で比べた公開の測定は無い。測定と書いていない数字は、仕組みから出した天井である。</t>
        </is>
      </c>
    </row>
    <row r="24"/>
    <row r="25" ht="168" customHeight="1">
      <c r="A25" s="47" t="inlineStr">
        <is>
          <t>誰が誰を止めているかの読み取り。本番で重いなら間隔を空け、行数を限る。
SELECT r.trx_mysql_thread_id AS waiting_thread, r.trx_query AS waiting_query,
       b.trx_mysql_thread_id AS blocking_thread,
       TIMESTAMPDIFF(SECOND, b.trx_started, NOW()) AS blocking_age_sec,
       b.trx_state AS blocking_state, b.trx_rows_locked, b.trx_rows_modified, b.trx_query AS blocking_query
FROM performance_schema.data_lock_waits w
JOIN information_schema.innodb_trx r ON r.trx_id = w.REQUESTING_ENGINE_TRANSACTION_ID
JOIN information_schema.innodb_trx b ON b.trx_id = w.BLOCKING_ENGINE_TRANSACTION_ID;
blocking_age_sec は持つ人が開き続けている秒。LOCK WAIT なら、その人自身も誰かを待っている。trx_query が空で sleep なら、実行中の SQL は無く、開いたまま止まっている。</t>
        </is>
      </c>
      <c r="B25" s="48" t="n"/>
      <c r="C25" s="48" t="n"/>
    </row>
  </sheetData>
  <autoFilter ref="A4:C21"/>
  <mergeCells count="4">
    <mergeCell ref="A1:C1"/>
    <mergeCell ref="A23:C23"/>
    <mergeCell ref="A2:C2"/>
    <mergeCell ref="A25:C25"/>
  </mergeCells>
  <printOptions horizontalCentered="1"/>
  <pageMargins left="0.45" right="0.45" top="0.72" bottom="0.55" header="0.26" footer="0.26"/>
  <pageSetup orientation="landscape" paperSize="9" fitToHeight="0" fitToWidth="1" pageOrder="downThenOver"/>
  <headerFooter>
    <oddHeader>&amp;L&amp;"Meiryo UI"&amp;9 &amp;K595959Aurora MySQL 8.4.7   innodb_lock_wait_timeout&amp;R&amp;"Meiryo UI"&amp;9 &amp;K595959監視の見方</oddHeader>
    <oddFooter>&amp;L&amp;"Meiryo UI"&amp;8 &amp;K595959調査日 2026-10-08    測定ではなく機構の説明    Meiryo UI / モノトーン&amp;R&amp;"Meiryo UI"&amp;8 &amp;K595959&amp;P / &amp;N</oddFooter>
    <evenHeader/>
    <evenFooter/>
    <firstHeader/>
    <firstFooter/>
  </headerFooter>
</worksheet>
</file>

<file path=xl/worksheets/sheet15.xml><?xml version="1.0" encoding="utf-8"?>
<worksheet xmlns="http://schemas.openxmlformats.org/spreadsheetml/2006/main">
  <sheetPr>
    <tabColor rgb="001A1A1A"/>
    <outlinePr summaryBelow="1" summaryRight="1"/>
    <pageSetUpPr fitToPage="1"/>
  </sheetPr>
  <dimension ref="A1:C29"/>
  <sheetViews>
    <sheetView showGridLines="0" showRowColHeaders="1" view="normal" zoomScale="110" workbookViewId="0">
      <pane ySplit="4" topLeftCell="A5" activePane="bottomLeft" state="frozen"/>
      <selection pane="bottomLeft" activeCell="A1" sqref="A1"/>
    </sheetView>
  </sheetViews>
  <sheetFormatPr baseColWidth="8" defaultRowHeight="18"/>
  <cols>
    <col width="28" customWidth="1" min="1" max="1"/>
    <col width="78" customWidth="1" min="2" max="2"/>
    <col width="36" customWidth="1" min="3" max="3"/>
  </cols>
  <sheetData>
    <row r="1" ht="42" customHeight="1">
      <c r="A1" s="1" t="inlineStr">
        <is>
          <t>一次資料と、まだ確かでないこと</t>
        </is>
      </c>
      <c r="B1" s="2" t="n"/>
      <c r="C1" s="2" t="n"/>
    </row>
    <row r="2" ht="46" customHeight="1">
      <c r="A2" s="3" t="inlineStr">
        <is>
          <t>リンクは文書の場所。二次記事の意見は、本文で意見と分けている。取得は2026年10月8日前後。</t>
        </is>
      </c>
      <c r="B2" s="4" t="n"/>
      <c r="C2" s="4" t="n"/>
    </row>
    <row r="3" ht="10" customHeight="1">
      <c r="A3" s="5" t="n"/>
    </row>
    <row r="4" ht="28" customHeight="1">
      <c r="A4" s="8" t="inlineStr">
        <is>
          <t>区分</t>
        </is>
      </c>
      <c r="B4" s="8" t="inlineStr">
        <is>
          <t>資料</t>
        </is>
      </c>
      <c r="C4" s="8" t="inlineStr">
        <is>
          <t>この文書での使い方</t>
        </is>
      </c>
    </row>
    <row r="5" ht="56" customHeight="1">
      <c r="A5" s="9" t="inlineStr">
        <is>
          <t>マニュアル</t>
        </is>
      </c>
      <c r="B5" s="49" t="inlineStr">
        <is>
          <t>MySQL 8.4 innodb_lock_wait_timeout
https://dev.mysql.com/doc/refman/8.4/en/innodb-parameters.html#sysvar_innodb_lock_wait_timeout</t>
        </is>
      </c>
      <c r="C5" s="10" t="inlineStr">
        <is>
          <t>既定50、範囲、OLTPは下げ、バックエンドは上げてよい</t>
        </is>
      </c>
    </row>
    <row r="6" ht="40" customHeight="1">
      <c r="A6" s="9" t="inlineStr">
        <is>
          <t>マニュアル</t>
        </is>
      </c>
      <c r="B6" s="50" t="inlineStr">
        <is>
          <t>innodb_rollback_on_timeout と InnoDB Error Handling
https://dev.mysql.com/doc/refman/8.4/en/innodb-error-handling.html</t>
        </is>
      </c>
      <c r="C6" s="11" t="inlineStr">
        <is>
          <t>1205は文。全体に戻すには起動オプション</t>
        </is>
      </c>
    </row>
    <row r="7" ht="40" customHeight="1">
      <c r="A7" s="9" t="inlineStr">
        <is>
          <t>マニュアル</t>
        </is>
      </c>
      <c r="B7" s="49" t="inlineStr">
        <is>
          <t>Deadlock Detection
https://dev.mysql.com/doc/refman/8.4/en/innodb-deadlock-detection.html</t>
        </is>
      </c>
      <c r="C7" s="10" t="inlineStr">
        <is>
          <t>輪はタイムアウトを使わない。200と1000000の上限</t>
        </is>
      </c>
    </row>
    <row r="8" ht="40" customHeight="1">
      <c r="A8" s="9" t="inlineStr">
        <is>
          <t>マニュアル</t>
        </is>
      </c>
      <c r="B8" s="50" t="inlineStr">
        <is>
          <t>InnoDB Locking / Isolation / Consistent read
https://dev.mysql.com/doc/refman/8.4/en/innodb-locking.html</t>
        </is>
      </c>
      <c r="C8" s="11" t="inlineStr">
        <is>
          <t>何が待ち、普通の SELECT は待たない</t>
        </is>
      </c>
    </row>
    <row r="9" ht="56" customHeight="1">
      <c r="A9" s="9" t="inlineStr">
        <is>
          <t>マニュアル</t>
        </is>
      </c>
      <c r="B9" s="49" t="inlineStr">
        <is>
          <t>lock_wait_timeout
https://dev.mysql.com/doc/refman/8.4/en/server-system-variables.html#sysvar_lock_wait_timeout</t>
        </is>
      </c>
      <c r="C9" s="10" t="inlineStr">
        <is>
          <t>メタデータは既定1年。エラー番号は同じ1205</t>
        </is>
      </c>
    </row>
    <row r="10" ht="56" customHeight="1">
      <c r="A10" s="9" t="inlineStr">
        <is>
          <t>マニュアル</t>
        </is>
      </c>
      <c r="B10" s="50" t="inlineStr">
        <is>
          <t>Error 1205 と 1213
https://dev.mysql.com/doc/mysql-errors/8.4/en/server-error-reference.html#error_er_lock_wait_timeout</t>
        </is>
      </c>
      <c r="C10" s="11" t="inlineStr">
        <is>
          <t>HY000 と 40001。戻る範囲が違う</t>
        </is>
      </c>
    </row>
    <row r="11" ht="40" customHeight="1">
      <c r="A11" s="9" t="inlineStr">
        <is>
          <t>マニュアル</t>
        </is>
      </c>
      <c r="B11" s="49" t="inlineStr">
        <is>
          <t>status variables と sys.innodb_lock_waits
https://dev.mysql.com/doc/refman/8.4/en/sys-innodb-lock-waits.html</t>
        </is>
      </c>
      <c r="C11" s="10" t="inlineStr">
        <is>
          <t>ミリ秒のカウンタと、待ちの要約ビュー</t>
        </is>
      </c>
    </row>
    <row r="12" ht="56" customHeight="1">
      <c r="A12" s="9" t="inlineStr">
        <is>
          <t>ソース</t>
        </is>
      </c>
      <c r="B12" s="50" t="inlineStr">
        <is>
          <t>MySQL 8.4 lock0wait.cc
https://raw.githubusercontent.com/mysql/mysql-server/8.4/storage/innobase/lock/lock0wait.cc</t>
        </is>
      </c>
      <c r="C12" s="11" t="inlineStr">
        <is>
          <t>約1秒の判定、要求ごとのコピー。マニュアルの文言ではない</t>
        </is>
      </c>
    </row>
    <row r="13" ht="40" customHeight="1">
      <c r="A13" s="9" t="inlineStr">
        <is>
          <t>歴史</t>
        </is>
      </c>
      <c r="B13" s="49" t="inlineStr">
        <is>
          <t>Bug #12308
https://bugs.mysql.com/bug.php?id=12308</t>
        </is>
      </c>
      <c r="C13" s="10" t="inlineStr">
        <is>
          <t>2005年9月4日、5.0.13で文だけ戻すようにした</t>
        </is>
      </c>
    </row>
    <row r="14" ht="56" customHeight="1">
      <c r="A14" s="9" t="inlineStr">
        <is>
          <t>歴史</t>
        </is>
      </c>
      <c r="B14" s="50" t="inlineStr">
        <is>
          <t>Oracle の買収発表 2005-10-07（Internet Archive）
https://web.archive.org/web/20181115071936/http://www.oracle.com/us/corporate/press/016679_EN</t>
        </is>
      </c>
      <c r="C14" s="11" t="inlineStr">
        <is>
          <t>Innobase 買収の日付</t>
        </is>
      </c>
    </row>
    <row r="15" ht="40" customHeight="1">
      <c r="A15" s="9" t="inlineStr">
        <is>
          <t>歴史</t>
        </is>
      </c>
      <c r="B15" s="49" t="inlineStr">
        <is>
          <t>MySQL 5.7.15 リリースノート
https://docs.oracle.com/cd/E17952_01/mysql-5.7-relnotes-en/news-5-7-15.html</t>
        </is>
      </c>
      <c r="C15" s="10" t="inlineStr">
        <is>
          <t>innodb_deadlock_detect の追加</t>
        </is>
      </c>
    </row>
    <row r="16" ht="40" customHeight="1">
      <c r="A16" s="9" t="inlineStr">
        <is>
          <t>歴史</t>
        </is>
      </c>
      <c r="B16" s="50" t="inlineStr">
        <is>
          <t>What Is New in MySQL 8.4
https://dev.mysql.com/doc/refman/8.4/en/mysql-nutshell.html</t>
        </is>
      </c>
      <c r="C16" s="11" t="inlineStr">
        <is>
          <t>8.4の既定変更一覧に、この変数は無い</t>
        </is>
      </c>
    </row>
    <row r="17" ht="56" customHeight="1">
      <c r="A17" s="9" t="inlineStr">
        <is>
          <t>意見</t>
        </is>
      </c>
      <c r="B17" s="49" t="inlineStr">
        <is>
          <t>Percona 2013-02-28 lock_wait_timeout
https://www.percona.com/blog/mysql-5-5-lock_wait_timeout-patience-is-a-virtue-and-a-locked-server/</t>
        </is>
      </c>
      <c r="C17" s="10" t="inlineStr">
        <is>
          <t>1年は5.1互換、という実装者コメント。意見と事実を分けて使う</t>
        </is>
      </c>
    </row>
    <row r="18" ht="56" customHeight="1">
      <c r="A18" s="9" t="inlineStr">
        <is>
          <t>実験</t>
        </is>
      </c>
      <c r="B18" s="50" t="inlineStr">
        <is>
          <t>Percona 2020-07-27 rollback_on_timeout
https://www.percona.com/blog/the-transaction-behavior-impact-of-innodb_rollback_on_timeout-in-mysql/</t>
        </is>
      </c>
      <c r="C18" s="11" t="inlineStr">
        <is>
          <t>OFF だと先の UPDATE が残る。8.4上の再実験ではない</t>
        </is>
      </c>
    </row>
    <row r="19" ht="56" customHeight="1">
      <c r="A19" s="9" t="inlineStr">
        <is>
          <t>AWS</t>
        </is>
      </c>
      <c r="B19" s="49" t="inlineStr">
        <is>
          <t>Aurora MySQL 8.4 GA 2026-05-21
https://aws.amazon.com/blogs/database/amazon-aurora-mysql-8-4-is-now-generally-available/</t>
        </is>
      </c>
      <c r="C19" s="10" t="inlineStr">
        <is>
          <t>8.4.7互換であることの告知</t>
        </is>
      </c>
    </row>
    <row r="20" ht="56" customHeight="1">
      <c r="A20" s="9" t="inlineStr">
        <is>
          <t>AWS</t>
        </is>
      </c>
      <c r="B20" s="50" t="inlineStr">
        <is>
          <t>Transaction timeout
https://docs.aws.amazon.com/AmazonRDS/latest/AuroraUserGuide/AuroraMySQL.TransactionTimeout.html</t>
        </is>
      </c>
      <c r="C20" s="11" t="inlineStr">
        <is>
          <t>8.4.8以上。既定0。持つ人を切る側</t>
        </is>
      </c>
    </row>
    <row r="21" ht="56" customHeight="1">
      <c r="A21" s="9" t="inlineStr">
        <is>
          <t>AWS</t>
        </is>
      </c>
      <c r="B21" s="49" t="inlineStr">
        <is>
          <t>パラメータ一覧
https://docs.aws.amazon.com/AmazonRDS/latest/AuroraUserGuide/AuroraMySQL.Reference.ParameterGroups.html</t>
        </is>
      </c>
      <c r="C21" s="10" t="inlineStr">
        <is>
          <t>インスタンス側で Modifiable Yes。前文は version 2 と3</t>
        </is>
      </c>
    </row>
    <row r="22" ht="56" customHeight="1">
      <c r="A22" s="9" t="inlineStr">
        <is>
          <t>AWS</t>
        </is>
      </c>
      <c r="B22" s="50" t="inlineStr">
        <is>
          <t>Serverless v2 の仕組みと容量
https://docs.aws.amazon.com/AmazonRDS/latest/AuroraUserGuide/aurora-serverless-v2.how-it-works.html</t>
        </is>
      </c>
      <c r="C22" s="11" t="inlineStr">
        <is>
          <t>スケール入力、ACU、max_connections の表</t>
        </is>
      </c>
    </row>
    <row r="23" ht="56" customHeight="1">
      <c r="A23" s="9" t="inlineStr">
        <is>
          <t>AWS</t>
        </is>
      </c>
      <c r="B23" s="49" t="inlineStr">
        <is>
          <t>行ロック待ちの解説
https://docs.aws.amazon.com/AmazonRDS/latest/AuroraUserGuide/ams-waits.row-lock-wait.html</t>
        </is>
      </c>
      <c r="C23" s="10" t="inlineStr">
        <is>
          <t>82秒の例。対象版の注記は version 3</t>
        </is>
      </c>
    </row>
    <row r="24" ht="56" customHeight="1">
      <c r="A24" s="9" t="inlineStr">
        <is>
          <t>AWS</t>
        </is>
      </c>
      <c r="B24" s="11" t="inlineStr">
        <is>
          <t>高可用性、履歴リスト、RDS Proxy、API Gateway、Lambda の各ドキュメント</t>
        </is>
      </c>
      <c r="C24" s="11" t="inlineStr">
        <is>
          <t>フェイルオーバーの長さ、undo、借り出し120秒、統合29秒、関数既定3秒。それぞれの既定値の照合</t>
        </is>
      </c>
    </row>
    <row r="25" ht="40" customHeight="1">
      <c r="A25" s="14" t="inlineStr">
        <is>
          <t>未確認</t>
        </is>
      </c>
      <c r="B25" s="14" t="inlineStr">
        <is>
          <t>50秒を選んだ一次資料。2001年のソース定数。Aurora が既定50と明言したページ。Engine default の API 出力。</t>
        </is>
      </c>
      <c r="C25" s="14" t="inlineStr">
        <is>
          <t>50対120の公開ベンチマーク。切断時に待ちが即時中断されるかの実験。</t>
        </is>
      </c>
    </row>
    <row r="26" ht="56" customHeight="1">
      <c r="A26" s="14" t="inlineStr">
        <is>
          <t>未確認</t>
        </is>
      </c>
      <c r="B26" s="14" t="inlineStr">
        <is>
          <t>innodb_rollback_on_timeout が Aurora のパラメータグループにあるか。SET PERSIST の可否。RDS Proxy の追跡リストにこの変数があるか。</t>
        </is>
      </c>
      <c r="C26" s="14" t="inlineStr">
        <is>
          <t>8.4の Performance Insights 詳細が行ロック待ちを version 3 以外にも明記しているか。</t>
        </is>
      </c>
    </row>
    <row r="27" ht="56" customHeight="1">
      <c r="A27" s="14" t="inlineStr">
        <is>
          <t>未確認</t>
        </is>
      </c>
      <c r="B27" s="14" t="inlineStr">
        <is>
          <t>高優先度トランザクションが何を指すか。8.4.7で data_lock_waits があることのリリースノート上の明記。</t>
        </is>
      </c>
      <c r="C27" s="14" t="inlineStr">
        <is>
          <t>コミュニティ機能としては8.0からある表。8.4.8のノートは同表に言及している。</t>
        </is>
      </c>
    </row>
    <row r="28"/>
    <row r="29" ht="36" customHeight="1">
      <c r="A29" s="15" t="inlineStr">
        <is>
          <t>調査日 2026-10-08。50秒と120秒を同じ負荷で比べた公開の測定は無い。測定と書いていない数字は、仕組みから出した天井である。</t>
        </is>
      </c>
    </row>
  </sheetData>
  <autoFilter ref="A4:C27"/>
  <mergeCells count="3">
    <mergeCell ref="A1:C1"/>
    <mergeCell ref="A2:C2"/>
    <mergeCell ref="A29:C29"/>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s>
  <printOptions horizontalCentered="1"/>
  <pageMargins left="0.45" right="0.45" top="0.72" bottom="0.55" header="0.26" footer="0.26"/>
  <pageSetup orientation="landscape" paperSize="9" fitToHeight="0" fitToWidth="1" pageOrder="downThenOver"/>
  <headerFooter>
    <oddHeader>&amp;L&amp;"Meiryo UI"&amp;9 &amp;K595959Aurora MySQL 8.4.7   innodb_lock_wait_timeout&amp;R&amp;"Meiryo UI"&amp;9 &amp;K595959出典と限界</oddHeader>
    <oddFooter>&amp;L&amp;"Meiryo UI"&amp;8 &amp;K595959調査日 2026-10-08    測定ではなく機構の説明    Meiryo UI / モノトーン&amp;R&amp;"Meiryo UI"&amp;8 &amp;K595959&amp;P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調査メモ 2026-10-08</dc:creator>
  <dc:title xmlns:dc="http://purl.org/dc/elements/1.1/">innodb_lock_wait_timeout を 50 秒から 120 秒にすると何が変わるか</dc:title>
  <dc:description xmlns:dc="http://purl.org/dc/elements/1.1/">Aurora MySQL Serverless v2（MySQL 8.4.7 互換）で innodb_lock_wait_timeout を 既定の 50 秒から 120 秒に増やしたときのメリットとデメリット。機構の説明であり測定値ではない。</dc:description>
  <dc:subject xmlns:dc="http://purl.org/dc/elements/1.1/">Aurora MySQL Serverless v2 / MySQL 8.4.7</dc:subject>
  <dcterms:created xmlns:dcterms="http://purl.org/dc/terms/" xmlns:xsi="http://www.w3.org/2001/XMLSchema-instance" xsi:type="dcterms:W3CDTF">2026-10-08T13:40:36Z</dcterms:created>
  <dcterms:modified xmlns:dcterms="http://purl.org/dc/terms/" xmlns:xsi="http://www.w3.org/2001/XMLSchema-instance" xsi:type="dcterms:W3CDTF">2026-10-08T13:40:36Z</dcterms:modified>
  <cp:category>データベース運用</cp:category>
  <cp:keywords>Aurora,InnoDB,innodb_lock_wait_timeout,1205,Serverless v2</cp:keywords>
</cp:coreProperties>
</file>